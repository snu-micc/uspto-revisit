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a4f230b57442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st inputs" sheetId="2" r:id="R1b855a581ab84ef0"/>
    <x:sheet xmlns:r="http://schemas.openxmlformats.org/officeDocument/2006/relationships" name="Table 2" sheetId="1" r:id="R0656a36c2e13421b"/>
    <x:sheet xmlns:r="http://schemas.openxmlformats.org/officeDocument/2006/relationships" name="Table 3" sheetId="3" r:id="R271f74b087f24008"/>
    <x:sheet xmlns:r="http://schemas.openxmlformats.org/officeDocument/2006/relationships" name="Model summary" sheetId="4" r:id="Ra9accd1e8d964592"/>
    <x:sheet xmlns:r="http://schemas.openxmlformats.org/officeDocument/2006/relationships" name="SI all heuristics" sheetId="5" r:id="R8e673c366b3245f3"/>
    <x:sheet xmlns:r="http://schemas.openxmlformats.org/officeDocument/2006/relationships" name="Raw extraction" sheetId="6" r:id="R000c32f307da4417"/>
    <x:sheet xmlns:r="http://schemas.openxmlformats.org/officeDocument/2006/relationships" name="Raw denoising" sheetId="7" r:id="Rcd4ed806307d4b92"/>
    <x:sheet xmlns:r="http://schemas.openxmlformats.org/officeDocument/2006/relationships" name="Raw pipeline summary" sheetId="8" r:id="Rd9aac49c92ee4d18"/>
    <x:sheet xmlns:r="http://schemas.openxmlformats.org/officeDocument/2006/relationships" name="Raw benchmark metrics" sheetId="9" r:id="Rf2f8ada5eb544aec"/>
    <x:sheet xmlns:r="http://schemas.openxmlformats.org/officeDocument/2006/relationships" name="Raw token usage" sheetId="10" r:id="R417e17e0452f4603"/>
    <x:sheet xmlns:r="http://schemas.openxmlformats.org/officeDocument/2006/relationships" name="Notes" sheetId="11" r:id="R8d278e5805384e8d"/>
  </x:sheets>
</x:workbook>
</file>

<file path=xl/sharedStrings.xml><?xml version="1.0" encoding="utf-8"?>
<x:sst xmlns:x="http://schemas.openxmlformats.org/spreadsheetml/2006/main">
  <x:si>
    <x:t xml:space="preserve">Estimated API cost inputs for the 400-paragraph benchmark</x:t>
  </x:si>
  <x:si>
    <x:t xml:space="preserve">Standard paid API list prices checked 2026-08-01; the fine-tuned gpt-4.1-mini rate follows the study schedule in SI10. OpenAI output_tokens already include reasoning tokens; Gemini billable output adds thinking tokens. gpt-4.1-mini input was imputed from the identical GPT prompt and outputs were retokenized from stored responses. Qwen3.5-9B was evaluated locally, so vendor API costs are reported as N/A.</x:t>
  </x:si>
  <x:si>
    <x:t xml:space="preserve">Standard paid API list prices checked 2026-08-01; the fine-tuned GPT-4.1-mini rate follows the study schedule in SI10. OpenAI output_tokens already include reasoning tokens; Gemini billable output adds thinking tokens. GPT-4.1-mini input was imputed from the identical GPT prompt and outputs were retokenized from stored responses.</x:t>
  </x:si>
  <x:si>
    <x:t xml:space="preserve">Release date</x:t>
  </x:si>
  <x:si>
    <x:t xml:space="preserve">Method ID</x:t>
  </x:si>
  <x:si>
    <x:t xml:space="preserve">Model</x:t>
  </x:si>
  <x:si>
    <x:t xml:space="preserve">Reasoning</x:t>
  </x:si>
  <x:si>
    <x:t xml:space="preserve">Provider</x:t>
  </x:si>
  <x:si>
    <x:t xml:space="preserve">Records</x:t>
  </x:si>
  <x:si>
    <x:t xml:space="preserve">Input tokens</x:t>
  </x:si>
  <x:si>
    <x:t xml:space="preserve">Output tokens</x:t>
  </x:si>
  <x:si>
    <x:t xml:space="preserve">Reasoning tokens</x:t>
  </x:si>
  <x:si>
    <x:t xml:space="preserve">Billable output tokens</x:t>
  </x:si>
  <x:si>
    <x:t xml:space="preserve">Input rate
USD/1M</x:t>
  </x:si>
  <x:si>
    <x:t xml:space="preserve">Output rate
USD/1M</x:t>
  </x:si>
  <x:si>
    <x:t xml:space="preserve">Input cost
USD</x:t>
  </x:si>
  <x:si>
    <x:t xml:space="preserve">Output cost
USD</x:t>
  </x:si>
  <x:si>
    <x:t xml:space="preserve">Total cost
USD</x:t>
  </x:si>
  <x:si>
    <x:t xml:space="preserve">Pricing assumption / source</x:t>
  </x:si>
  <x:si>
    <x:t xml:space="preserve">original_data</x:t>
  </x:si>
  <x:si>
    <x:t xml:space="preserve">Original USPTO parsing</x:t>
  </x:si>
  <x:si>
    <x:t xml:space="preserve">–</x:t>
  </x:si>
  <x:si>
    <x:t xml:space="preserve">Baseline</x:t>
  </x:si>
  <x:si>
    <x:t xml:space="preserve">N/A</x:t>
  </x:si>
  <x:si>
    <x:t xml:space="preserve">Token telemetry or current comparable price unavailable</x:t>
  </x:si>
  <x:si>
    <x:t xml:space="preserve">2026-03-02</x:t>
  </x:si>
  <x:si>
    <x:t xml:space="preserve">qwen-3.5-9b-off</x:t>
  </x:si>
  <x:si>
    <x:t xml:space="preserve">qwen-3.5-9B</x:t>
  </x:si>
  <x:si>
    <x:t xml:space="preserve">none</x:t>
  </x:si>
  <x:si>
    <x:t xml:space="preserve">Qwen/local</x:t>
  </x:si>
  <x:si>
    <x:t xml:space="preserve">Local GPU inference; vendor API cost not applicable; https://huggingface.co/Qwen/Qwen3.5-9B</x:t>
  </x:si>
  <x:si>
    <x:t xml:space="preserve">qwen-3.5-9b-low</x:t>
  </x:si>
  <x:si>
    <x:t xml:space="preserve">low</x:t>
  </x:si>
  <x:si>
    <x:t xml:space="preserve">qwen-3.5-9b-high</x:t>
  </x:si>
  <x:si>
    <x:t xml:space="preserve">high</x:t>
  </x:si>
  <x:si>
    <x:t xml:space="preserve">qwen-3.5-9b-ft-off</x:t>
  </x:si>
  <x:si>
    <x:t xml:space="preserve">qwen-3.5-9B (fine-tuned)</x:t>
  </x:si>
  <x:si>
    <x:t xml:space="preserve">qwen-3.5-9b-ft-low</x:t>
  </x:si>
  <x:si>
    <x:t xml:space="preserve">qwen-3.5-9b-ft-high</x:t>
  </x:si>
  <x:si>
    <x:t xml:space="preserve">2025-04-14</x:t>
  </x:si>
  <x:si>
    <x:t xml:space="preserve">gpt-4.1-mini-nonreasoning-shared</x:t>
  </x:si>
  <x:si>
    <x:t xml:space="preserve">gpt-4.1-mini</x:t>
  </x:si>
  <x:si>
    <x:t xml:space="preserve">OpenAI</x:t>
  </x:si>
  <x:si>
    <x:t xml:space="preserve">Standard API; Imputed common GPT input; stored outputs retokenized with o200k_base; https://developers.openai.com/api/docs/models/gpt-4.1-mini; Supplementary Information 10</x:t>
  </x:si>
  <x:si>
    <x:t xml:space="preserve">gpt-4.1-mini-ft-nonreasoning-shared</x:t>
  </x:si>
  <x:si>
    <x:t xml:space="preserve">gpt-4.1-mini (fine-tuned)</x:t>
  </x:si>
  <x:si>
    <x:t xml:space="preserve">Standard API; Imputed common GPT input; stored outputs retokenized with o200k_base; Supplementary Information 10 (study rate schedule)</x:t>
  </x:si>
  <x:si>
    <x:t xml:space="preserve">2026-03-05</x:t>
  </x:si>
  <x:si>
    <x:t xml:space="preserve">gpt-5.4-none</x:t>
  </x:si>
  <x:si>
    <x:t xml:space="preserve">gpt-5.4</x:t>
  </x:si>
  <x:si>
    <x:t xml:space="preserve">Standard API; OpenAI output_tokens (already includes reasoning); https://developers.openai.com/api/docs/models/gpt-5.4</x:t>
  </x:si>
  <x:si>
    <x:t xml:space="preserve">gpt-5.4-low</x:t>
  </x:si>
  <x:si>
    <x:t xml:space="preserve">gpt-5.4-high</x:t>
  </x:si>
  <x:si>
    <x:t xml:space="preserve">2026-07-09</x:t>
  </x:si>
  <x:si>
    <x:t xml:space="preserve">gpt-5.6-sol-none</x:t>
  </x:si>
  <x:si>
    <x:t xml:space="preserve">gpt-5.6-sol</x:t>
  </x:si>
  <x:si>
    <x:t xml:space="preserve">Standard API; OpenAI output_tokens (already includes reasoning); https://developers.openai.com/api/docs/models/gpt-5.6-sol</x:t>
  </x:si>
  <x:si>
    <x:t xml:space="preserve">gpt-5.6-sol-low</x:t>
  </x:si>
  <x:si>
    <x:t xml:space="preserve">gpt-5.6-sol-high</x:t>
  </x:si>
  <x:si>
    <x:t xml:space="preserve">2025-06-17</x:t>
  </x:si>
  <x:si>
    <x:t xml:space="preserve">gemini-2.5-flash-none</x:t>
  </x:si>
  <x:si>
    <x:t xml:space="preserve">gemini-2.5-flash</x:t>
  </x:si>
  <x:si>
    <x:t xml:space="preserve">Google</x:t>
  </x:si>
  <x:si>
    <x:t xml:space="preserve">Standard API; output_tokens + reasoning_tokens; https://ai.google.dev/gemini-api/docs/pricing</x:t>
  </x:si>
  <x:si>
    <x:t xml:space="preserve">2026-02-19</x:t>
  </x:si>
  <x:si>
    <x:t xml:space="preserve">gemini-3.1-pro-preview-low</x:t>
  </x:si>
  <x:si>
    <x:t xml:space="preserve">gemini-3.1-pro-preview</x:t>
  </x:si>
  <x:si>
    <x:t xml:space="preserve">gemini-3.1-pro-preview-high</x:t>
  </x:si>
  <x:si>
    <x:t xml:space="preserve">2026-07-21</x:t>
  </x:si>
  <x:si>
    <x:t xml:space="preserve">gemini-3.6-flash-low</x:t>
  </x:si>
  <x:si>
    <x:t xml:space="preserve">gemini-3.6-flash</x:t>
  </x:si>
  <x:si>
    <x:t xml:space="preserve">gemini-3.6-flash-high</x:t>
  </x:si>
  <x:si>
    <x:t xml:space="preserve">Table 2. Reaction extraction performance, reasoning settings, and estimated API cost</x:t>
  </x:si>
  <x:si>
    <x:t xml:space="preserve">Evaluation set: 283 noise-free patent paragraphs with complete reaction ground truth. Costs cover all 400 API calls and use standard, non-cached list prices; the 117 noisy paragraphs were excluded only from exact extraction scoring.</x:t>
  </x:si>
  <x:si>
    <x:t xml:space="preserve">Extraction method</x:t>
  </x:si>
  <x:si>
    <x:t xml:space="preserve">Provider-defined tier</x:t>
  </x:si>
  <x:si>
    <x:t xml:space="preserve">Reactants
Precision (%)</x:t>
  </x:si>
  <x:si>
    <x:t xml:space="preserve">Reactants
Recall (%)</x:t>
  </x:si>
  <x:si>
    <x:t xml:space="preserve">Reagents
Precision (%)</x:t>
  </x:si>
  <x:si>
    <x:t xml:space="preserve">Reagents
Recall (%)</x:t>
  </x:si>
  <x:si>
    <x:t xml:space="preserve">Products
Precision (%)</x:t>
  </x:si>
  <x:si>
    <x:t xml:space="preserve">Products
Recall (%)</x:t>
  </x:si>
  <x:si>
    <x:t xml:space="preserve">Reaction-level exact-match accuracy
(%, 95% Wilson CI)</x:t>
  </x:si>
  <x:si>
    <x:t xml:space="preserve">Input cost
(USD)</x:t>
  </x:si>
  <x:si>
    <x:t xml:space="preserve">Output cost
(USD)</x:t>
  </x:si>
  <x:si>
    <x:t xml:space="preserve">Total cost
(USD)</x:t>
  </x:si>
  <x:si>
    <x:t xml:space="preserve">Exact matches
(n/283)</x:t>
  </x:si>
  <x:si>
    <x:t xml:space="preserve">Rule-based baseline</x:t>
  </x:si>
  <x:si>
    <x:t xml:space="preserve">107/283</x:t>
  </x:si>
  <x:si>
    <x:t xml:space="preserve">Open-weight 9B</x:t>
  </x:si>
  <x:si>
    <x:t xml:space="preserve">206/283</x:t>
  </x:si>
  <x:si>
    <x:t xml:space="preserve">209/283</x:t>
  </x:si>
  <x:si>
    <x:t xml:space="preserve">200/283</x:t>
  </x:si>
  <x:si>
    <x:t xml:space="preserve">Open-weight 9B + fine-tuning</x:t>
  </x:si>
  <x:si>
    <x:t xml:space="preserve">216/283</x:t>
  </x:si>
  <x:si>
    <x:t xml:space="preserve">219/283</x:t>
  </x:si>
  <x:si>
    <x:t xml:space="preserve">220/283</x:t>
  </x:si>
  <x:si>
    <x:t xml:space="preserve">Small/non-reasoning</x:t>
  </x:si>
  <x:si>
    <x:t xml:space="preserve">194/283</x:t>
  </x:si>
  <x:si>
    <x:t xml:space="preserve">Small/non-reasoning + fine-tuning</x:t>
  </x:si>
  <x:si>
    <x:t xml:space="preserve">233/283</x:t>
  </x:si>
  <x:si>
    <x:t xml:space="preserve">Frontier</x:t>
  </x:si>
  <x:si>
    <x:t xml:space="preserve">232/283</x:t>
  </x:si>
  <x:si>
    <x:t xml:space="preserve">237/283</x:t>
  </x:si>
  <x:si>
    <x:t xml:space="preserve">Frontier flagship</x:t>
  </x:si>
  <x:si>
    <x:t xml:space="preserve">223/283</x:t>
  </x:si>
  <x:si>
    <x:t xml:space="preserve">215/283</x:t>
  </x:si>
  <x:si>
    <x:t xml:space="preserve">gemini-2.5-flash†</x:t>
  </x:si>
  <x:si>
    <x:t xml:space="preserve">Flash/efficient</x:t>
  </x:si>
  <x:si>
    <x:t xml:space="preserve">227/283</x:t>
  </x:si>
  <x:si>
    <x:t xml:space="preserve">Frontier Pro</x:t>
  </x:si>
  <x:si>
    <x:t xml:space="preserve">239/283</x:t>
  </x:si>
  <x:si>
    <x:t xml:space="preserve">gemini-3.6-flash‡</x:t>
  </x:si>
  <x:si>
    <x:t xml:space="preserve">245/283</x:t>
  </x:si>
  <x:si>
    <x:t xml:space="preserve">† Cost-efficient alternative. ‡ Selected downstream configuration based on the highest observed reaction-level extraction accuracy and shown in Fig. 1. ‘none’ denotes either an inherently non-reasoning model or a configuration in which reasoning was disabled; complete reasoning disablement was unavailable for gemini-3.1-pro-preview and gemini-3.6-flash.</x:t>
  </x:si>
  <x:si>
    <x:t xml:space="preserve">Note: Costs are estimated at standard API rates (USD); the fine-tuned gpt-4.1-mini rate follows the study schedule in SI10. Cached-input, Batch/Flex, regional, tax, and tool-call adjustments are excluded. gpt-4.1-mini input was imputed from the identical GPT prompt and output was reconstructed from stored responses. Qwen3.5-9B was run locally; vendor API cost was therefore not estimated.</x:t>
  </x:si>
  <x:si>
    <x:t xml:space="preserve">Table 3. Denoising performance of individual heuristics using gemini-3.6-flash (reasoning: high)</x:t>
  </x:si>
  <x:si>
    <x:t xml:space="preserve">Selected pipeline: extraction 245/283 (86.6%), template-anomaly denoising 299/400 (74.8%), strict end-to-end 272/400 (68.0%; 95% CI 63.3%–72.4%).</x:t>
  </x:si>
  <x:si>
    <x:t xml:space="preserve">Heuristic</x:t>
  </x:si>
  <x:si>
    <x:t xml:space="preserve">Noise-free
passed (TP)</x:t>
  </x:si>
  <x:si>
    <x:t xml:space="preserve">Noise-free
filtered (FN)</x:t>
  </x:si>
  <x:si>
    <x:t xml:space="preserve">Noisy
passed (FP)</x:t>
  </x:si>
  <x:si>
    <x:t xml:space="preserve">Noisy
filtered (TN)</x:t>
  </x:si>
  <x:si>
    <x:t xml:space="preserve">Clean reactions
saved (%)</x:t>
  </x:si>
  <x:si>
    <x:t xml:space="preserve">Noisy reactions
filtered (%)</x:t>
  </x:si>
  <x:si>
    <x:t xml:space="preserve">Denoising
accuracy (%)</x:t>
  </x:si>
  <x:si>
    <x:t xml:space="preserve">Denoising
correct (n/400)</x:t>
  </x:si>
  <x:si>
    <x:t xml:space="preserve">Template-anomaly</x:t>
  </x:si>
  <x:si>
    <x:t xml:space="preserve">Many-reactants</x:t>
  </x:si>
  <x:si>
    <x:t xml:space="preserve">Many-reagents</x:t>
  </x:si>
  <x:si>
    <x:t xml:space="preserve">No-reagent</x:t>
  </x:si>
  <x:si>
    <x:t xml:space="preserve">Many-products</x:t>
  </x:si>
  <x:si>
    <x:t xml:space="preserve">Definitions: clean reactions saved = TP/(TP+FN); noisy reactions filtered = TN/(TN+FP); denoising accuracy = (TP+TN)/400. Strict end-to-end accuracy additionally requires exact extraction, valid atom mapping/template generation, and the correct final retain/filter decision.</x:t>
  </x:si>
  <x:si>
    <x:t xml:space="preserve">Across-model summary: extraction, template-anomaly denoising, strict end-to-end evaluation, and estimated API cost</x:t>
  </x:si>
  <x:si>
    <x:t xml:space="preserve">Extraction correct</x:t>
  </x:si>
  <x:si>
    <x:t xml:space="preserve">Extraction total</x:t>
  </x:si>
  <x:si>
    <x:t xml:space="preserve">Extraction accuracy (%)</x:t>
  </x:si>
  <x:si>
    <x:t xml:space="preserve">TP</x:t>
  </x:si>
  <x:si>
    <x:t xml:space="preserve">FN</x:t>
  </x:si>
  <x:si>
    <x:t xml:space="preserve">FP</x:t>
  </x:si>
  <x:si>
    <x:t xml:space="preserve">TN</x:t>
  </x:si>
  <x:si>
    <x:t xml:space="preserve">Clean saved (%)</x:t>
  </x:si>
  <x:si>
    <x:t xml:space="preserve">Noisy filtered (%)</x:t>
  </x:si>
  <x:si>
    <x:t xml:space="preserve">Denoising accuracy (%)</x:t>
  </x:si>
  <x:si>
    <x:t xml:space="preserve">E2E correct</x:t>
  </x:si>
  <x:si>
    <x:t xml:space="preserve">Strict E2E accuracy (%)</x:t>
  </x:si>
  <x:si>
    <x:t xml:space="preserve">Supplementary table. Full model-by-heuristic denoising results</x:t>
  </x:si>
  <x:si>
    <x:t xml:space="preserve">Tier</x:t>
  </x:si>
  <x:si>
    <x:t xml:space="preserve">Noise-free N</x:t>
  </x:si>
  <x:si>
    <x:t xml:space="preserve">Noisy N</x:t>
  </x:si>
  <x:si>
    <x:t xml:space="preserve">method</x:t>
  </x:si>
  <x:si>
    <x:t xml:space="preserve">extraction_method</x:t>
  </x:si>
  <x:si>
    <x:t xml:space="preserve">evaluated_reactions</x:t>
  </x:si>
  <x:si>
    <x:t xml:space="preserve">excluded_reactions</x:t>
  </x:si>
  <x:si>
    <x:t xml:space="preserve">reactants_tp</x:t>
  </x:si>
  <x:si>
    <x:t xml:space="preserve">reactants_fp</x:t>
  </x:si>
  <x:si>
    <x:t xml:space="preserve">reactants_fn</x:t>
  </x:si>
  <x:si>
    <x:t xml:space="preserve">reactants_precision</x:t>
  </x:si>
  <x:si>
    <x:t xml:space="preserve">reactants_recall</x:t>
  </x:si>
  <x:si>
    <x:t xml:space="preserve">reagents_tp</x:t>
  </x:si>
  <x:si>
    <x:t xml:space="preserve">reagents_fp</x:t>
  </x:si>
  <x:si>
    <x:t xml:space="preserve">reagents_fn</x:t>
  </x:si>
  <x:si>
    <x:t xml:space="preserve">reagents_precision</x:t>
  </x:si>
  <x:si>
    <x:t xml:space="preserve">reagents_recall</x:t>
  </x:si>
  <x:si>
    <x:t xml:space="preserve">products_tp</x:t>
  </x:si>
  <x:si>
    <x:t xml:space="preserve">products_fp</x:t>
  </x:si>
  <x:si>
    <x:t xml:space="preserve">products_fn</x:t>
  </x:si>
  <x:si>
    <x:t xml:space="preserve">products_precision</x:t>
  </x:si>
  <x:si>
    <x:t xml:space="preserve">products_recall</x:t>
  </x:si>
  <x:si>
    <x:t xml:space="preserve">reaction_correct</x:t>
  </x:si>
  <x:si>
    <x:t xml:space="preserve">reaction_incorrect</x:t>
  </x:si>
  <x:si>
    <x:t xml:space="preserve">reaction_accuracy</x:t>
  </x:si>
  <x:si>
    <x:t xml:space="preserve">reaction_accuracy_ci_lower</x:t>
  </x:si>
  <x:si>
    <x:t xml:space="preserve">reaction_accuracy_ci_upper</x:t>
  </x:si>
  <x:si>
    <x:t xml:space="preserve">Original data</x:t>
  </x:si>
  <x:si>
    <x:t xml:space="preserve">model</x:t>
  </x:si>
  <x:si>
    <x:t xml:space="preserve">heuristic</x:t>
  </x:si>
  <x:si>
    <x:t xml:space="preserve">heuristic_type</x:t>
  </x:si>
  <x:si>
    <x:t xml:space="preserve">noise_free_reactions</x:t>
  </x:si>
  <x:si>
    <x:t xml:space="preserve">noisy_reactions</x:t>
  </x:si>
  <x:si>
    <x:t xml:space="preserve">total_reactions</x:t>
  </x:si>
  <x:si>
    <x:t xml:space="preserve">passed_tp</x:t>
  </x:si>
  <x:si>
    <x:t xml:space="preserve">filtered_fn</x:t>
  </x:si>
  <x:si>
    <x:t xml:space="preserve">passed_fp</x:t>
  </x:si>
  <x:si>
    <x:t xml:space="preserve">filtered_tn</x:t>
  </x:si>
  <x:si>
    <x:t xml:space="preserve">noise_free_data_saved_rate</x:t>
  </x:si>
  <x:si>
    <x:t xml:space="preserve">noisy_data_filtered_rate</x:t>
  </x:si>
  <x:si>
    <x:t xml:space="preserve">denoising_accuracy</x:t>
  </x:si>
  <x:si>
    <x:t xml:space="preserve">rare_template</x:t>
  </x:si>
  <x:si>
    <x:t xml:space="preserve">many_reactants</x:t>
  </x:si>
  <x:si>
    <x:t xml:space="preserve">many_reagents</x:t>
  </x:si>
  <x:si>
    <x:t xml:space="preserve">no_reagent</x:t>
  </x:si>
  <x:si>
    <x:t xml:space="preserve">many_products</x:t>
  </x:si>
  <x:si>
    <x:t xml:space="preserve">release_date</x:t>
  </x:si>
  <x:si>
    <x:t xml:space="preserve">model_tier</x:t>
  </x:si>
  <x:si>
    <x:t xml:space="preserve">comparison_group</x:t>
  </x:si>
  <x:si>
    <x:t xml:space="preserve">reasoning</x:t>
  </x:si>
  <x:si>
    <x:t xml:space="preserve">extraction_correct</x:t>
  </x:si>
  <x:si>
    <x:t xml:space="preserve">extraction_total</x:t>
  </x:si>
  <x:si>
    <x:t xml:space="preserve">extraction_accuracy_pct</x:t>
  </x:si>
  <x:si>
    <x:t xml:space="preserve">denoising_correct</x:t>
  </x:si>
  <x:si>
    <x:t xml:space="preserve">denoising_total</x:t>
  </x:si>
  <x:si>
    <x:t xml:space="preserve">denoising_accuracy_pct</x:t>
  </x:si>
  <x:si>
    <x:t xml:space="preserve">end_to_end_correct</x:t>
  </x:si>
  <x:si>
    <x:t xml:space="preserve">end_to_end_total</x:t>
  </x:si>
  <x:si>
    <x:t xml:space="preserve">end_to_end_accuracy_pct</x:t>
  </x:si>
  <x:si>
    <x:t xml:space="preserve">input_tokens</x:t>
  </x:si>
  <x:si>
    <x:t xml:space="preserve">output_tokens</x:t>
  </x:si>
  <x:si>
    <x:t xml:space="preserve">reasoning_tokens</x:t>
  </x:si>
  <x:si>
    <x:t xml:space="preserve">open-weight 9b</x:t>
  </x:si>
  <x:si>
    <x:t xml:space="preserve">Open-weight baseline</x:t>
  </x:si>
  <x:si>
    <x:t xml:space="preserve">Open-weight reasoning</x:t>
  </x:si>
  <x:si>
    <x:t xml:space="preserve">open-weight 9b + fine-tuning</x:t>
  </x:si>
  <x:si>
    <x:t xml:space="preserve">Open-weight task fine-tuning</x:t>
  </x:si>
  <x:si>
    <x:t xml:space="preserve">small/non-reasoning</x:t>
  </x:si>
  <x:si>
    <x:t xml:space="preserve">Legacy small-model baseline</x:t>
  </x:si>
  <x:si>
    <x:t xml:space="preserve">small/non-reasoning + task fine-tuning</x:t>
  </x:si>
  <x:si>
    <x:t xml:space="preserve">frontier</x:t>
  </x:si>
  <x:si>
    <x:t xml:space="preserve">Contemporaneous frontier pair</x:t>
  </x:si>
  <x:si>
    <x:t xml:space="preserve">frontier flagship</x:t>
  </x:si>
  <x:si>
    <x:t xml:space="preserve">Latest-generation exploratory</x:t>
  </x:si>
  <x:si>
    <x:t xml:space="preserve">Latest-generation common-effort pair</x:t>
  </x:si>
  <x:si>
    <x:t xml:space="preserve">Cost-efficient selected pipeline</x:t>
  </x:si>
  <x:si>
    <x:t xml:space="preserve">frontier Pro</x:t>
  </x:si>
  <x:si>
    <x:t xml:space="preserve">metric</x:t>
  </x:si>
  <x:si>
    <x:t xml:space="preserve">correct</x:t>
  </x:si>
  <x:si>
    <x:t xml:space="preserve">total</x:t>
  </x:si>
  <x:si>
    <x:t xml:space="preserve">rate</x:t>
  </x:si>
  <x:si>
    <x:t xml:space="preserve">ci95_lower</x:t>
  </x:si>
  <x:si>
    <x:t xml:space="preserve">ci95_upper</x:t>
  </x:si>
  <x:si>
    <x:t xml:space="preserve">reaction_exact_match</x:t>
  </x:si>
  <x:si>
    <x:t xml:space="preserve">template_anomaly_denoising</x:t>
  </x:si>
  <x:si>
    <x:t xml:space="preserve">strict_end_to_end</x:t>
  </x:si>
  <x:si>
    <x:t xml:space="preserve">records</x:t>
  </x:si>
  <x:si>
    <x:t xml:space="preserve">mean_latency_seconds_direct_calls_only</x:t>
  </x:si>
  <x:si>
    <x:t xml:space="preserve">latency_records</x:t>
  </x:si>
  <x:si>
    <x:t xml:space="preserve">Definitions, cost assumptions, interpretation, and data provenance</x:t>
  </x:si>
  <x:si>
    <x:t xml:space="preserve">Item</x:t>
  </x:si>
  <x:si>
    <x:t xml:space="preserve">Definition / note</x:t>
  </x:si>
  <x:si>
    <x:t xml:space="preserve">Reaction-level exact match</x:t>
  </x:si>
  <x:si>
    <x:t xml:space="preserve">All reactants, reagents, and products must match the manually curated ground truth after the established normalization procedure.</x:t>
  </x:si>
  <x:si>
    <x:t xml:space="preserve">Flags model-derived singleton atom-mapped transformation templates (N = 1), template-generation failures, or identical mapped reactant and product structures.</x:t>
  </x:si>
  <x:si>
    <x:t xml:space="preserve">Clean reactions saved</x:t>
  </x:si>
  <x:si>
    <x:t xml:space="preserve">TP/(TP+FN), evaluated on 283 manually labeled noise-free paragraphs.</x:t>
  </x:si>
  <x:si>
    <x:t xml:space="preserve">Noisy reactions filtered</x:t>
  </x:si>
  <x:si>
    <x:t xml:space="preserve">TN/(TN+FP), evaluated on 117 manually labeled noisy paragraphs.</x:t>
  </x:si>
  <x:si>
    <x:t xml:space="preserve">Denoising accuracy</x:t>
  </x:si>
  <x:si>
    <x:t xml:space="preserve">(TP+TN)/400.</x:t>
  </x:si>
  <x:si>
    <x:t xml:space="preserve">Strict end-to-end accuracy</x:t>
  </x:si>
  <x:si>
    <x:t xml:space="preserve">Requires exact extraction, valid atom mapping and template generation, and the correct final retain/filter decision.</x:t>
  </x:si>
  <x:si>
    <x:t xml:space="preserve">Cost scope</x:t>
  </x:si>
  <x:si>
    <x:t xml:space="preserve">Input, output, and total costs are estimates for all 400 API calls, not only the 283 noise-free paragraphs used for exact extraction scoring.</x:t>
  </x:si>
  <x:si>
    <x:t xml:space="preserve">Price normalization</x:t>
  </x:si>
  <x:si>
    <x:t xml:space="preserve">Current standard paid API list prices were used, except that the fine-tuned gpt-4.1-mini inference rate follows the study schedule documented in Supplementary Information 10. Cached-input, Batch/Flex, regional, tax, and tool-call adjustments were excluded.</x:t>
  </x:si>
  <x:si>
    <x:t xml:space="preserve">Output-token billing</x:t>
  </x:si>
  <x:si>
    <x:t xml:space="preserve">OpenAI output_tokens already include reasoning tokens and were billed once. Gemini output costs use output_tokens + reasoning_tokens because Google prices output including thinking tokens.</x:t>
  </x:si>
  <x:si>
    <x:t xml:space="preserve">gpt-4.1-mini reconstruction</x:t>
  </x:si>
  <x:si>
    <x:t xml:space="preserve">The legacy files did not retain API token telemetry. Input tokens were set to the identical controlled GPT prompt total (1,619,365), and stored predictions were retokenized with o200k_base: 101,227 output tokens for gpt-4.1-mini and 131,302 for its fine-tuned version. The same procedure was 0.21% below the recorded gpt-5.4-none output total.</x:t>
  </x:si>
  <x:si>
    <x:t xml:space="preserve">Cross-provider model tiers</x:t>
  </x:si>
  <x:si>
    <x:t xml:space="preserve">Provider-defined tier labels are not equivalent. gpt-5.6-Sol is a frontier flagship model; gemini-3.6-Flash is a Flash/efficient model. Interpret comparisons as task-specific.</x:t>
  </x:si>
  <x:si>
    <x:t xml:space="preserve">Reasoning labels</x:t>
  </x:si>
  <x:si>
    <x:t xml:space="preserve">‘none’ denotes either an inherently non-reasoning model or a configuration in which reasoning was disabled using the provider-specific API setting. Low/high labels were matched where supported, although token budgets and internal implementations differ across providers.</x:t>
  </x:si>
  <x:si>
    <x:t xml:space="preserve">Gemini reasoning controls</x:t>
  </x:si>
  <x:si>
    <x:t xml:space="preserve">gemini-2.5-flash was run with thinking_budget=0; all 400 calls completed with zero recorded reasoning tokens. Complete reasoning disablement was unavailable for gemini-3.1-pro-preview and gemini-3.6-flash, so only low and high settings were evaluated.</x:t>
  </x:si>
  <x:si>
    <x:t xml:space="preserve">Source</x:t>
  </x:si>
  <x:si>
    <x:t xml:space="preserve">URL / local file</x:t>
  </x:si>
  <x:si>
    <x:t xml:space="preserve">OpenAI gpt-4.1-mini pricing</x:t>
  </x:si>
  <x:si>
    <x:t xml:space="preserve">https://developers.openai.com/api/docs/models/gpt-4.1-mini</x:t>
  </x:si>
  <x:si>
    <x:t xml:space="preserve">OpenAI gpt-5.4 pricing</x:t>
  </x:si>
  <x:si>
    <x:t xml:space="preserve">https://developers.openai.com/api/docs/models/gpt-5.4</x:t>
  </x:si>
  <x:si>
    <x:t xml:space="preserve">OpenAI gpt-5.6-Sol pricing</x:t>
  </x:si>
  <x:si>
    <x:t xml:space="preserve">https://developers.openai.com/api/docs/models/gpt-5.6-sol</x:t>
  </x:si>
  <x:si>
    <x:t xml:space="preserve">Gemini standard API pricing</x:t>
  </x:si>
  <x:si>
    <x:t xml:space="preserve">https://ai.google.dev/gemini-api/docs/pricing</x:t>
  </x:si>
  <x:si>
    <x:t xml:space="preserve">Gemini thinking controls</x:t>
  </x:si>
  <x:si>
    <x:t xml:space="preserve">https://ai.google.dev/gemini-api/docs/thinking</x:t>
  </x:si>
  <x:si>
    <x:t xml:space="preserve">Study fine-tuned gpt-4.1-mini rates</x:t>
  </x:si>
  <x:si>
    <x:t xml:space="preserve">supplementary_accepted.json — Supplementary Information 10</x:t>
  </x:si>
  <x:si>
    <x:t xml:space="preserve">Qwen3.5-9B model</x:t>
  </x:si>
  <x:si>
    <x:t xml:space="preserve">https://huggingface.co/Qwen/Qwen3.5-9B</x:t>
  </x:si>
</x:sst>
</file>

<file path=xl/styles.xml><?xml version="1.0" encoding="utf-8"?>
<x:styleSheet xmlns:x="http://schemas.openxmlformats.org/spreadsheetml/2006/main">
  <x:numFmts count="3">
    <x:numFmt numFmtId="177" formatCode="0.0"/>
    <x:numFmt numFmtId="178" formatCode="0.000000"/>
    <x:numFmt numFmtId="200" formatCode="0.0000"/>
  </x:numFmts>
  <x:fonts count="18">
    <x:font>
      <x:sz val="11"/>
      <x:name val="Carlito"/>
    </x:font>
    <x:font>
      <x:b/>
      <x:sz val="14"/>
      <x:color rgb="FFFFFFFF"/>
      <x:name val="Carlito"/>
    </x:font>
    <x:font>
      <x:i/>
      <x:sz val="10"/>
      <x:color rgb="FF495057"/>
      <x:name val="Carlito"/>
    </x:font>
    <x:font>
      <x:b/>
      <x:sz val="10"/>
      <x:color rgb="FFFFFFFF"/>
      <x:name val="Carlito"/>
    </x:font>
    <x:font>
      <x:sz val="10"/>
      <x:color rgb="FF202428"/>
      <x:name val="Carlito"/>
    </x:font>
    <x:font>
      <x:i/>
      <x:sz val="9"/>
      <x:name val="Carlito"/>
    </x:font>
    <x:font>
      <x:b/>
      <x:sz val="10"/>
      <x:color rgb="FF253858"/>
      <x:name val="Carlito"/>
    </x:font>
    <x:font>
      <x:sz val="11"/>
      <x:name val="Carlito"/>
    </x:font>
    <x:font>
      <x:sz val="8"/>
      <x:name val="돋움"/>
    </x:font>
    <x:font>
      <x:sz val="10"/>
      <x:color rgb="FF202428"/>
      <x:name val="Carlito"/>
    </x:font>
    <x:font>
      <x:b/>
      <x:sz val="10"/>
      <x:color rgb="FF1F5132"/>
      <x:name val="Carlito"/>
    </x:font>
    <x:font>
      <x:sz val="10"/>
      <x:color rgb="FF1F2937"/>
      <x:name val="Arial"/>
    </x:font>
    <x:font>
      <x:b/>
      <x:sz val="10"/>
      <x:color rgb="FF1F2937"/>
      <x:name val="Arial"/>
    </x:font>
    <x:font>
      <x:i/>
      <x:sz val="10"/>
      <x:color rgb="FF374151"/>
      <x:name val="Arial"/>
    </x:font>
    <x:font>
      <x:i/>
      <x:sz val="9"/>
      <x:color rgb="FF374151"/>
      <x:name val="Arial"/>
    </x:font>
    <x:font>
      <x:sz val="10"/>
      <x:color rgb="FF1F2937"/>
      <x:name val="Arial"/>
    </x:font>
    <x:font>
      <x:sz val="9"/>
      <x:color rgb="FF1F2937"/>
      <x:name val="Arial"/>
    </x:font>
    <x:font>
      <x:b/>
      <x:sz val="9"/>
      <x:color rgb="FF1F2937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253858"/>
      </x:patternFill>
    </x:fill>
    <x:fill>
      <x:patternFill patternType="solid">
        <x:fgColor rgb="FFDCEAF5"/>
      </x:patternFill>
    </x:fill>
    <x:fill>
      <x:patternFill patternType="solid">
        <x:fgColor rgb="FF3A78A8"/>
      </x:patternFill>
    </x:fill>
    <x:fill>
      <x:patternFill patternType="solid">
        <x:fgColor rgb="FFF6E7B0"/>
      </x:patternFill>
    </x:fill>
    <x:fill>
      <x:patternFill patternType="solid">
        <x:fgColor rgb="FFFFFFFF"/>
      </x:patternFill>
    </x:fill>
    <x:fill>
      <x:patternFill patternType="solid">
        <x:fgColor rgb="FFDFF2E5"/>
      </x:patternFill>
    </x:fill>
    <x:fill>
      <x:patternFill patternType="solid">
        <x:fgColor rgb="FFF1F5F9"/>
      </x:patternFill>
    </x:fill>
    <x:fill>
      <x:patternFill patternType="solid">
        <x:fgColor rgb="FFEDE9FE"/>
      </x:patternFill>
    </x:fill>
    <x:fill>
      <x:patternFill patternType="solid">
        <x:fgColor rgb="FFF3ECF7"/>
      </x:patternFill>
    </x:fill>
    <x:fill>
      <x:patternFill patternType="solid">
        <x:fgColor rgb="FFE2F2E8"/>
      </x:patternFill>
    </x:fill>
    <x:fill>
      <x:patternFill patternType="solid">
        <x:fgColor rgb="FFDCEFF8"/>
      </x:patternFill>
    </x:fill>
    <x:fill>
      <x:patternFill patternType="solid">
        <x:fgColor rgb="FFFFF1C9"/>
      </x:patternFill>
    </x:fill>
    <x:fill>
      <x:patternFill patternType="solid">
        <x:fgColor rgb="FFFFFFFF"/>
      </x:patternFill>
    </x:fill>
    <x:fill>
      <x:patternFill patternType="solid">
        <x:fgColor rgb="FFEAE3F6"/>
      </x:patternFill>
    </x:fill>
    <x:fill>
      <x:patternFill patternType="solid">
        <x:fgColor rgb="FFEAF4FA"/>
      </x:patternFill>
    </x:fill>
  </x:fills>
  <x:borders count="9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C9D0D7"/>
      </x:bottom>
    </x:border>
    <x:border>
      <x:top style="thin">
        <x:color rgb="FFC9D0D7"/>
      </x:top>
      <x:bottom style="thin">
        <x:color rgb="FFC9D0D7"/>
      </x:bottom>
    </x:border>
    <x:border>
      <x:top style="thin">
        <x:color rgb="FFC9D0D7"/>
      </x:top>
    </x:border>
    <x:border>
      <x:top style="medium">
        <x:color rgb="FF3A78A8"/>
      </x:top>
      <x:bottom style="medium">
        <x:color rgb="FF3A78A8"/>
      </x:bottom>
    </x:border>
    <x:border>
      <x:top style="medium">
        <x:color rgb="FF2F75B5"/>
      </x:top>
      <x:bottom style="medium">
        <x:color rgb="FF2F75B5"/>
      </x:bottom>
    </x:border>
  </x:borders>
  <x:cellStyleXfs count="2">
    <x:xf numFmtId="0" fontId="0" fillId="0" borderId="0"/>
    <x:xf numFmtId="0" fontId="7" fillId="0" borderId="0"/>
  </x:cellStyleXfs>
  <x:cellXfs count="201">
    <x:xf numFmtId="0" fontId="0" fillId="0" borderId="0" xfId="0"/>
    <x:xf numFmtId="0" fontId="3" fillId="4" borderId="1" xfId="1" applyFont="1" applyFill="1" applyBorder="1" applyAlignment="1">
      <x:alignment horizontal="center" vertical="center" wrapText="1"/>
    </x:xf>
    <x:xf numFmtId="0" fontId="3" fillId="4" borderId="2" xfId="1" applyFont="1" applyFill="1" applyBorder="1" applyAlignment="1">
      <x:alignment horizontal="center" vertical="center" wrapText="1"/>
    </x:xf>
    <x:xf numFmtId="0" fontId="3" fillId="4" borderId="3" xfId="1" applyFont="1" applyFill="1" applyBorder="1" applyAlignment="1">
      <x:alignment horizontal="center" vertical="center" wrapText="1"/>
    </x:xf>
    <x:xf numFmtId="0" fontId="4" fillId="0" borderId="4" xfId="1" applyFont="1" applyBorder="1" applyAlignment="1">
      <x:alignment vertical="center"/>
    </x:xf>
    <x:xf numFmtId="0" fontId="4" fillId="0" borderId="5" xfId="1" applyFont="1" applyBorder="1" applyAlignment="1">
      <x:alignment vertical="center"/>
    </x:xf>
    <x:xf numFmtId="0" fontId="4" fillId="0" borderId="6" xfId="1" applyFont="1" applyBorder="1" applyAlignment="1">
      <x:alignment vertical="center"/>
    </x:xf>
    <x:xf numFmtId="0" fontId="4" fillId="0" borderId="4" xfId="1" applyFont="1" applyBorder="1" applyAlignment="1">
      <x:alignment vertical="center" wrapText="1"/>
    </x:xf>
    <x:xf numFmtId="0" fontId="4" fillId="0" borderId="5" xfId="1" applyFont="1" applyBorder="1" applyAlignment="1">
      <x:alignment vertical="center" wrapText="1"/>
    </x:xf>
    <x:xf numFmtId="0" fontId="4" fillId="0" borderId="6" xfId="1" applyFont="1" applyBorder="1" applyAlignment="1">
      <x:alignment vertical="center" wrapText="1"/>
    </x:xf>
    <x:xf numFmtId="0" fontId="9" fillId="6" borderId="5" xfId="0" applyFont="1" applyFill="1" applyBorder="1" applyAlignment="1">
      <x:alignment horizontal="center" vertical="center"/>
    </x:xf>
    <x:xf numFmtId="0" fontId="9" fillId="6" borderId="5" xfId="0" applyFont="1" applyFill="1" applyBorder="1" applyAlignment="1">
      <x:alignment vertical="center"/>
    </x:xf>
    <x:xf numFmtId="0" fontId="9" fillId="6" borderId="7" xfId="0" applyFont="1" applyFill="1" applyBorder="1" applyAlignment="1">
      <x:alignment vertical="center"/>
    </x:xf>
    <x:xf numFmtId="0" fontId="9" fillId="6" borderId="7" xfId="0" applyFont="1" applyFill="1" applyBorder="1" applyAlignment="1">
      <x:alignment horizontal="center" vertical="center"/>
    </x:xf>
    <x:xf numFmtId="0" fontId="10" fillId="7" borderId="8" xfId="0" applyFont="1" applyFill="1" applyBorder="1" applyAlignment="1">
      <x:alignment vertical="center"/>
    </x:xf>
    <x:xf numFmtId="0" fontId="10" fillId="7" borderId="8" xfId="0" applyFont="1" applyFill="1" applyBorder="1" applyAlignment="1">
      <x:alignment horizontal="center" vertical="center"/>
    </x:xf>
    <x:xf numFmtId="177" fontId="10" fillId="7" borderId="8" xfId="0" applyNumberFormat="1" applyFont="1" applyFill="1" applyBorder="1" applyAlignment="1">
      <x:alignment horizontal="center" vertical="center"/>
    </x:xf>
    <x:xf numFmtId="177" fontId="4" fillId="6" borderId="5" xfId="0" applyNumberFormat="1" applyFont="1" applyFill="1" applyBorder="1" applyAlignment="1">
      <x:alignment horizontal="center" vertical="center"/>
    </x:xf>
    <x:xf numFmtId="177" fontId="4" fillId="6" borderId="7" xfId="0" applyNumberFormat="1" applyFont="1" applyFill="1" applyBorder="1" applyAlignment="1">
      <x:alignment horizontal="center" vertical="center"/>
    </x:xf>
    <x:xf numFmtId="0" fontId="11" fillId="6" borderId="4" xfId="0" applyFont="1" applyFill="1" applyBorder="1" applyAlignment="1">
      <x:alignment vertical="center" wrapText="1"/>
    </x:xf>
    <x:xf numFmtId="177" fontId="11" fillId="6" borderId="4" xfId="0" applyNumberFormat="1" applyFont="1" applyFill="1" applyBorder="1" applyAlignment="1">
      <x:alignment horizontal="center" vertical="center"/>
    </x:xf>
    <x:xf numFmtId="0" fontId="11" fillId="6" borderId="4" xfId="0" applyFont="1" applyFill="1" applyBorder="1" applyAlignment="1">
      <x:alignment horizontal="center" vertical="center"/>
    </x:xf>
    <x:xf numFmtId="2" fontId="11" fillId="6" borderId="4" xfId="0" applyNumberFormat="1" applyFont="1" applyFill="1" applyBorder="1" applyAlignment="1">
      <x:alignment horizontal="center" vertical="center"/>
    </x:xf>
    <x:xf numFmtId="0" fontId="11" fillId="8" borderId="5" xfId="0" applyFont="1" applyFill="1" applyBorder="1" applyAlignment="1">
      <x:alignment vertical="center" wrapText="1"/>
    </x:xf>
    <x:xf numFmtId="177" fontId="11" fillId="8" borderId="5" xfId="0" applyNumberFormat="1" applyFont="1" applyFill="1" applyBorder="1" applyAlignment="1">
      <x:alignment horizontal="center" vertical="center"/>
    </x:xf>
    <x:xf numFmtId="0" fontId="11" fillId="8" borderId="5" xfId="0" applyFont="1" applyFill="1" applyBorder="1" applyAlignment="1">
      <x:alignment horizontal="center" vertical="center"/>
    </x:xf>
    <x:xf numFmtId="2" fontId="11" fillId="8" borderId="5" xfId="0" applyNumberFormat="1" applyFont="1" applyFill="1" applyBorder="1" applyAlignment="1">
      <x:alignment horizontal="center" vertical="center"/>
    </x:xf>
    <x:xf numFmtId="0" fontId="11" fillId="9" borderId="5" xfId="0" applyFont="1" applyFill="1" applyBorder="1" applyAlignment="1">
      <x:alignment vertical="center" wrapText="1"/>
    </x:xf>
    <x:xf numFmtId="177" fontId="11" fillId="9" borderId="5" xfId="0" applyNumberFormat="1" applyFont="1" applyFill="1" applyBorder="1" applyAlignment="1">
      <x:alignment horizontal="center" vertical="center"/>
    </x:xf>
    <x:xf numFmtId="0" fontId="11" fillId="9" borderId="5" xfId="0" applyFont="1" applyFill="1" applyBorder="1" applyAlignment="1">
      <x:alignment horizontal="center" vertical="center"/>
    </x:xf>
    <x:xf numFmtId="2" fontId="11" fillId="9" borderId="5" xfId="0" applyNumberFormat="1" applyFont="1" applyFill="1" applyBorder="1" applyAlignment="1">
      <x:alignment horizontal="center" vertical="center"/>
    </x:xf>
    <x:xf numFmtId="0" fontId="11" fillId="10" borderId="5" xfId="0" applyFont="1" applyFill="1" applyBorder="1" applyAlignment="1">
      <x:alignment vertical="center" wrapText="1"/>
    </x:xf>
    <x:xf numFmtId="177" fontId="11" fillId="10" borderId="5" xfId="0" applyNumberFormat="1" applyFont="1" applyFill="1" applyBorder="1" applyAlignment="1">
      <x:alignment horizontal="center" vertical="center"/>
    </x:xf>
    <x:xf numFmtId="0" fontId="11" fillId="10" borderId="5" xfId="0" applyFont="1" applyFill="1" applyBorder="1" applyAlignment="1">
      <x:alignment horizontal="center" vertical="center"/>
    </x:xf>
    <x:xf numFmtId="2" fontId="11" fillId="10" borderId="5" xfId="0" applyNumberFormat="1" applyFont="1" applyFill="1" applyBorder="1" applyAlignment="1">
      <x:alignment horizontal="center" vertical="center"/>
    </x:xf>
    <x:xf numFmtId="0" fontId="11" fillId="11" borderId="5" xfId="0" applyFont="1" applyFill="1" applyBorder="1" applyAlignment="1">
      <x:alignment vertical="center" wrapText="1"/>
    </x:xf>
    <x:xf numFmtId="177" fontId="11" fillId="11" borderId="5" xfId="0" applyNumberFormat="1" applyFont="1" applyFill="1" applyBorder="1" applyAlignment="1">
      <x:alignment horizontal="center" vertical="center"/>
    </x:xf>
    <x:xf numFmtId="0" fontId="11" fillId="11" borderId="5" xfId="0" applyFont="1" applyFill="1" applyBorder="1" applyAlignment="1">
      <x:alignment horizontal="center" vertical="center"/>
    </x:xf>
    <x:xf numFmtId="2" fontId="11" fillId="11" borderId="5" xfId="0" applyNumberFormat="1" applyFont="1" applyFill="1" applyBorder="1" applyAlignment="1">
      <x:alignment horizontal="center" vertical="center"/>
    </x:xf>
    <x:xf numFmtId="0" fontId="11" fillId="12" borderId="5" xfId="0" applyFont="1" applyFill="1" applyBorder="1" applyAlignment="1">
      <x:alignment vertical="center" wrapText="1"/>
    </x:xf>
    <x:xf numFmtId="177" fontId="11" fillId="12" borderId="5" xfId="0" applyNumberFormat="1" applyFont="1" applyFill="1" applyBorder="1" applyAlignment="1">
      <x:alignment horizontal="center" vertical="center"/>
    </x:xf>
    <x:xf numFmtId="0" fontId="11" fillId="12" borderId="5" xfId="0" applyFont="1" applyFill="1" applyBorder="1" applyAlignment="1">
      <x:alignment horizontal="center" vertical="center"/>
    </x:xf>
    <x:xf numFmtId="2" fontId="11" fillId="12" borderId="5" xfId="0" applyNumberFormat="1" applyFont="1" applyFill="1" applyBorder="1" applyAlignment="1">
      <x:alignment horizontal="center" vertical="center"/>
    </x:xf>
    <x:xf numFmtId="0" fontId="11" fillId="12" borderId="6" xfId="0" applyFont="1" applyFill="1" applyBorder="1" applyAlignment="1">
      <x:alignment vertical="center" wrapText="1"/>
    </x:xf>
    <x:xf numFmtId="177" fontId="11" fillId="12" borderId="6" xfId="0" applyNumberFormat="1" applyFont="1" applyFill="1" applyBorder="1" applyAlignment="1">
      <x:alignment horizontal="center" vertical="center"/>
    </x:xf>
    <x:xf numFmtId="0" fontId="11" fillId="12" borderId="6" xfId="0" applyFont="1" applyFill="1" applyBorder="1" applyAlignment="1">
      <x:alignment horizontal="center" vertical="center"/>
    </x:xf>
    <x:xf numFmtId="2" fontId="11" fillId="12" borderId="6" xfId="0" applyNumberFormat="1" applyFont="1" applyFill="1" applyBorder="1" applyAlignment="1">
      <x:alignment horizontal="center" vertical="center"/>
    </x:xf>
    <x:xf numFmtId="0" fontId="11" fillId="12" borderId="0" xfId="0" applyFont="1" applyFill="1" applyAlignment="1">
      <x:alignment wrapText="1"/>
    </x:xf>
    <x:xf numFmtId="0" fontId="11" fillId="12" borderId="0" xfId="0" applyFont="1" applyFill="1"/>
    <x:xf numFmtId="0" fontId="11" fillId="14" borderId="0" xfId="0" applyFont="1" applyFill="1"/>
    <x:xf numFmtId="0" fontId="11" fillId="15" borderId="0" xfId="0" applyFont="1" applyFill="1"/>
    <x:xf numFmtId="177" fontId="11" fillId="12" borderId="0" xfId="0" applyNumberFormat="1" applyFont="1" applyFill="1" applyAlignment="1">
      <x:alignment wrapText="1"/>
    </x:xf>
    <x:xf numFmtId="177" fontId="11" fillId="14" borderId="0" xfId="0" applyNumberFormat="1" applyFont="1" applyFill="1"/>
    <x:xf numFmtId="177" fontId="11" fillId="15" borderId="0" xfId="0" applyNumberFormat="1" applyFont="1" applyFill="1"/>
    <x:xf numFmtId="2" fontId="11" fillId="12" borderId="0" xfId="0" applyNumberFormat="1" applyFont="1" applyFill="1" applyAlignment="1">
      <x:alignment wrapText="1"/>
    </x:xf>
    <x:xf numFmtId="2" fontId="11" fillId="14" borderId="0" xfId="0" applyNumberFormat="1" applyFont="1" applyFill="1"/>
    <x:xf numFmtId="2" fontId="11" fillId="15" borderId="0" xfId="0" applyNumberFormat="1" applyFont="1" applyFill="1"/>
    <x:xf numFmtId="0" fontId="12" fillId="9" borderId="5" xfId="0" applyFont="1" applyFill="1" applyBorder="1" applyAlignment="1">
      <x:alignment horizontal="center" vertical="center"/>
    </x:xf>
    <x:xf numFmtId="2" fontId="12" fillId="9" borderId="5" xfId="0" applyNumberFormat="1" applyFont="1" applyFill="1" applyBorder="1" applyAlignment="1">
      <x:alignment horizontal="center" vertical="center"/>
    </x:xf>
    <x:xf numFmtId="0" fontId="12" fillId="11" borderId="5" xfId="0" applyFont="1" applyFill="1" applyBorder="1" applyAlignment="1">
      <x:alignment vertical="center" wrapText="1"/>
    </x:xf>
    <x:xf numFmtId="0" fontId="12" fillId="11" borderId="5" xfId="0" applyFont="1" applyFill="1" applyBorder="1" applyAlignment="1">
      <x:alignment horizontal="center" vertical="center"/>
    </x:xf>
    <x:xf numFmtId="2" fontId="12" fillId="11" borderId="5" xfId="0" applyNumberFormat="1" applyFont="1" applyFill="1" applyBorder="1" applyAlignment="1">
      <x:alignment horizontal="center" vertical="center"/>
    </x:xf>
    <x:xf numFmtId="0" fontId="12" fillId="12" borderId="6" xfId="0" applyFont="1" applyFill="1" applyBorder="1" applyAlignment="1">
      <x:alignment vertical="center" wrapText="1"/>
    </x:xf>
    <x:xf numFmtId="0" fontId="12" fillId="12" borderId="6" xfId="0" applyFont="1" applyFill="1" applyBorder="1" applyAlignment="1">
      <x:alignment horizontal="center" vertical="center"/>
    </x:xf>
    <x:xf numFmtId="2" fontId="12" fillId="12" borderId="6" xfId="0" applyNumberFormat="1" applyFont="1" applyFill="1" applyBorder="1" applyAlignment="1">
      <x:alignment horizontal="center" vertical="center"/>
    </x:xf>
    <x:xf numFmtId="0" fontId="13" fillId="13" borderId="0" xfId="0" applyFont="1" applyFill="1" applyAlignment="1">
      <x:alignment wrapText="1"/>
    </x:xf>
    <x:xf numFmtId="177" fontId="13" fillId="13" borderId="0" xfId="0" applyNumberFormat="1" applyFont="1" applyFill="1" applyAlignment="1">
      <x:alignment wrapText="1"/>
    </x:xf>
    <x:xf numFmtId="2" fontId="13" fillId="13" borderId="0" xfId="0" applyNumberFormat="1" applyFont="1" applyFill="1" applyAlignment="1">
      <x:alignment wrapText="1"/>
    </x:xf>
    <x:xf numFmtId="0" fontId="13" fillId="13" borderId="0" xfId="0" applyFont="1" applyFill="1"/>
    <x:xf numFmtId="0" fontId="12" fillId="15" borderId="0" xfId="0" applyFont="1" applyFill="1"/>
    <x:xf numFmtId="2" fontId="12" fillId="15" borderId="0" xfId="0" applyNumberFormat="1" applyFont="1" applyFill="1"/>
    <x:xf numFmtId="0" fontId="11" fillId="8" borderId="4" xfId="0" applyFont="1" applyFill="1" applyBorder="1" applyAlignment="1">
      <x:alignment vertical="center"/>
    </x:xf>
    <x:xf numFmtId="0" fontId="11" fillId="8" borderId="4" xfId="0" applyFont="1" applyFill="1" applyBorder="1" applyAlignment="1">
      <x:alignment horizontal="center" vertical="center"/>
    </x:xf>
    <x:xf numFmtId="177" fontId="11" fillId="8" borderId="4" xfId="0" applyNumberFormat="1" applyFont="1" applyFill="1" applyBorder="1" applyAlignment="1">
      <x:alignment horizontal="center" vertical="center"/>
    </x:xf>
    <x:xf numFmtId="2" fontId="11" fillId="8" borderId="4" xfId="0" applyNumberFormat="1" applyFont="1" applyFill="1" applyBorder="1" applyAlignment="1">
      <x:alignment horizontal="center" vertical="center"/>
    </x:xf>
    <x:xf numFmtId="0" fontId="11" fillId="8" borderId="5" xfId="0" applyFont="1" applyFill="1" applyBorder="1" applyAlignment="1">
      <x:alignment vertical="center"/>
    </x:xf>
    <x:xf numFmtId="0" fontId="11" fillId="9" borderId="5" xfId="0" applyFont="1" applyFill="1" applyBorder="1" applyAlignment="1">
      <x:alignment vertical="center"/>
    </x:xf>
    <x:xf numFmtId="0" fontId="11" fillId="10" borderId="5" xfId="0" applyFont="1" applyFill="1" applyBorder="1" applyAlignment="1">
      <x:alignment vertical="center"/>
    </x:xf>
    <x:xf numFmtId="0" fontId="11" fillId="11" borderId="5" xfId="0" applyFont="1" applyFill="1" applyBorder="1" applyAlignment="1">
      <x:alignment vertical="center"/>
    </x:xf>
    <x:xf numFmtId="0" fontId="11" fillId="12" borderId="5" xfId="0" applyFont="1" applyFill="1" applyBorder="1" applyAlignment="1">
      <x:alignment vertical="center"/>
    </x:xf>
    <x:xf numFmtId="0" fontId="11" fillId="12" borderId="6" xfId="0" applyFont="1" applyFill="1" applyBorder="1" applyAlignment="1">
      <x:alignment vertical="center"/>
    </x:xf>
    <x:xf numFmtId="177" fontId="11" fillId="12" borderId="0" xfId="0" applyNumberFormat="1" applyFont="1" applyFill="1"/>
    <x:xf numFmtId="2" fontId="11" fillId="12" borderId="0" xfId="0" applyNumberFormat="1" applyFont="1" applyFill="1"/>
    <x:xf numFmtId="177" fontId="12" fillId="9" borderId="5" xfId="0" applyNumberFormat="1" applyFont="1" applyFill="1" applyBorder="1" applyAlignment="1">
      <x:alignment horizontal="center" vertical="center"/>
    </x:xf>
    <x:xf numFmtId="0" fontId="12" fillId="11" borderId="5" xfId="0" applyFont="1" applyFill="1" applyBorder="1" applyAlignment="1">
      <x:alignment vertical="center"/>
    </x:xf>
    <x:xf numFmtId="177" fontId="12" fillId="11" borderId="5" xfId="0" applyNumberFormat="1" applyFont="1" applyFill="1" applyBorder="1" applyAlignment="1">
      <x:alignment horizontal="center" vertical="center"/>
    </x:xf>
    <x:xf numFmtId="0" fontId="12" fillId="12" borderId="6" xfId="0" applyFont="1" applyFill="1" applyBorder="1" applyAlignment="1">
      <x:alignment vertical="center"/>
    </x:xf>
    <x:xf numFmtId="177" fontId="12" fillId="12" borderId="6" xfId="0" applyNumberFormat="1" applyFont="1" applyFill="1" applyBorder="1" applyAlignment="1">
      <x:alignment horizontal="center" vertical="center"/>
    </x:xf>
    <x:xf numFmtId="177" fontId="13" fillId="13" borderId="0" xfId="0" applyNumberFormat="1" applyFont="1" applyFill="1"/>
    <x:xf numFmtId="2" fontId="13" fillId="13" borderId="0" xfId="0" applyNumberFormat="1" applyFont="1" applyFill="1"/>
    <x:xf numFmtId="177" fontId="12" fillId="15" borderId="0" xfId="0" applyNumberFormat="1" applyFont="1" applyFill="1"/>
    <x:xf numFmtId="0" fontId="15" fillId="0" borderId="4" xfId="0" applyFont="1" applyBorder="1" applyAlignment="1">
      <x:alignment vertical="center"/>
    </x:xf>
    <x:xf numFmtId="0" fontId="15" fillId="0" borderId="4" xfId="0" applyFont="1" applyBorder="1" applyAlignment="1">
      <x:alignment vertical="center" wrapText="1"/>
    </x:xf>
    <x:xf numFmtId="0" fontId="15" fillId="8" borderId="5" xfId="0" applyFont="1" applyFill="1" applyBorder="1" applyAlignment="1">
      <x:alignment vertical="center"/>
    </x:xf>
    <x:xf numFmtId="2" fontId="15" fillId="8" borderId="5" xfId="0" applyNumberFormat="1" applyFont="1" applyFill="1" applyBorder="1" applyAlignment="1">
      <x:alignment horizontal="center" vertical="center"/>
    </x:xf>
    <x:xf numFmtId="0" fontId="15" fillId="8" borderId="5" xfId="0" applyFont="1" applyFill="1" applyBorder="1" applyAlignment="1">
      <x:alignment vertical="center" wrapText="1"/>
    </x:xf>
    <x:xf numFmtId="0" fontId="15" fillId="9" borderId="5" xfId="0" applyFont="1" applyFill="1" applyBorder="1" applyAlignment="1">
      <x:alignment vertical="center"/>
    </x:xf>
    <x:xf numFmtId="2" fontId="15" fillId="9" borderId="5" xfId="0" applyNumberFormat="1" applyFont="1" applyFill="1" applyBorder="1" applyAlignment="1">
      <x:alignment horizontal="center" vertical="center"/>
    </x:xf>
    <x:xf numFmtId="0" fontId="15" fillId="9" borderId="5" xfId="0" applyFont="1" applyFill="1" applyBorder="1" applyAlignment="1">
      <x:alignment vertical="center" wrapText="1"/>
    </x:xf>
    <x:xf numFmtId="0" fontId="15" fillId="10" borderId="5" xfId="0" applyFont="1" applyFill="1" applyBorder="1" applyAlignment="1">
      <x:alignment vertical="center"/>
    </x:xf>
    <x:xf numFmtId="2" fontId="15" fillId="10" borderId="5" xfId="0" applyNumberFormat="1" applyFont="1" applyFill="1" applyBorder="1" applyAlignment="1">
      <x:alignment horizontal="center" vertical="center"/>
    </x:xf>
    <x:xf numFmtId="0" fontId="15" fillId="10" borderId="5" xfId="0" applyFont="1" applyFill="1" applyBorder="1" applyAlignment="1">
      <x:alignment vertical="center" wrapText="1"/>
    </x:xf>
    <x:xf numFmtId="0" fontId="15" fillId="11" borderId="5" xfId="0" applyFont="1" applyFill="1" applyBorder="1" applyAlignment="1">
      <x:alignment vertical="center"/>
    </x:xf>
    <x:xf numFmtId="2" fontId="15" fillId="11" borderId="5" xfId="0" applyNumberFormat="1" applyFont="1" applyFill="1" applyBorder="1" applyAlignment="1">
      <x:alignment horizontal="center" vertical="center"/>
    </x:xf>
    <x:xf numFmtId="0" fontId="15" fillId="11" borderId="5" xfId="0" applyFont="1" applyFill="1" applyBorder="1" applyAlignment="1">
      <x:alignment vertical="center" wrapText="1"/>
    </x:xf>
    <x:xf numFmtId="0" fontId="15" fillId="12" borderId="5" xfId="0" applyFont="1" applyFill="1" applyBorder="1" applyAlignment="1">
      <x:alignment vertical="center"/>
    </x:xf>
    <x:xf numFmtId="2" fontId="15" fillId="12" borderId="5" xfId="0" applyNumberFormat="1" applyFont="1" applyFill="1" applyBorder="1" applyAlignment="1">
      <x:alignment horizontal="center" vertical="center"/>
    </x:xf>
    <x:xf numFmtId="0" fontId="15" fillId="12" borderId="5" xfId="0" applyFont="1" applyFill="1" applyBorder="1" applyAlignment="1">
      <x:alignment vertical="center" wrapText="1"/>
    </x:xf>
    <x:xf numFmtId="0" fontId="15" fillId="12" borderId="6" xfId="0" applyFont="1" applyFill="1" applyBorder="1" applyAlignment="1">
      <x:alignment vertical="center"/>
    </x:xf>
    <x:xf numFmtId="2" fontId="15" fillId="12" borderId="6" xfId="0" applyNumberFormat="1" applyFont="1" applyFill="1" applyBorder="1" applyAlignment="1">
      <x:alignment horizontal="center" vertical="center"/>
    </x:xf>
    <x:xf numFmtId="0" fontId="15" fillId="12" borderId="6" xfId="0" applyFont="1" applyFill="1" applyBorder="1" applyAlignment="1">
      <x:alignment vertical="center" wrapText="1"/>
    </x:xf>
    <x:xf numFmtId="0" fontId="15" fillId="12" borderId="0" xfId="0" applyFont="1" applyFill="1"/>
    <x:xf numFmtId="0" fontId="15" fillId="13" borderId="0" xfId="0" applyFont="1" applyFill="1"/>
    <x:xf numFmtId="0" fontId="15" fillId="14" borderId="0" xfId="0" applyFont="1" applyFill="1"/>
    <x:xf numFmtId="0" fontId="15" fillId="15" borderId="0" xfId="0" applyFont="1" applyFill="1"/>
    <x:xf numFmtId="3" fontId="15" fillId="0" borderId="4" xfId="0" applyNumberFormat="1" applyFont="1" applyBorder="1" applyAlignment="1">
      <x:alignment horizontal="center" vertical="center"/>
    </x:xf>
    <x:xf numFmtId="3" fontId="15" fillId="8" borderId="5" xfId="0" applyNumberFormat="1" applyFont="1" applyFill="1" applyBorder="1" applyAlignment="1">
      <x:alignment horizontal="center" vertical="center"/>
    </x:xf>
    <x:xf numFmtId="3" fontId="15" fillId="9" borderId="5" xfId="0" applyNumberFormat="1" applyFont="1" applyFill="1" applyBorder="1" applyAlignment="1">
      <x:alignment horizontal="center" vertical="center"/>
    </x:xf>
    <x:xf numFmtId="3" fontId="15" fillId="10" borderId="5" xfId="0" applyNumberFormat="1" applyFont="1" applyFill="1" applyBorder="1" applyAlignment="1">
      <x:alignment horizontal="center" vertical="center"/>
    </x:xf>
    <x:xf numFmtId="3" fontId="15" fillId="11" borderId="5" xfId="0" applyNumberFormat="1" applyFont="1" applyFill="1" applyBorder="1" applyAlignment="1">
      <x:alignment horizontal="center" vertical="center"/>
    </x:xf>
    <x:xf numFmtId="3" fontId="15" fillId="12" borderId="5" xfId="0" applyNumberFormat="1" applyFont="1" applyFill="1" applyBorder="1" applyAlignment="1">
      <x:alignment horizontal="center" vertical="center"/>
    </x:xf>
    <x:xf numFmtId="3" fontId="15" fillId="12" borderId="6" xfId="0" applyNumberFormat="1" applyFont="1" applyFill="1" applyBorder="1" applyAlignment="1">
      <x:alignment horizontal="center" vertical="center"/>
    </x:xf>
    <x:xf numFmtId="3" fontId="15" fillId="12" borderId="0" xfId="0" applyNumberFormat="1" applyFont="1" applyFill="1"/>
    <x:xf numFmtId="3" fontId="15" fillId="13" borderId="0" xfId="0" applyNumberFormat="1" applyFont="1" applyFill="1"/>
    <x:xf numFmtId="3" fontId="15" fillId="14" borderId="0" xfId="0" applyNumberFormat="1" applyFont="1" applyFill="1"/>
    <x:xf numFmtId="3" fontId="15" fillId="15" borderId="0" xfId="0" applyNumberFormat="1" applyFont="1" applyFill="1"/>
    <x:xf numFmtId="2" fontId="15" fillId="0" borderId="4" xfId="0" applyNumberFormat="1" applyFont="1" applyBorder="1" applyAlignment="1">
      <x:alignment horizontal="center" vertical="center"/>
    </x:xf>
    <x:xf numFmtId="2" fontId="15" fillId="12" borderId="0" xfId="0" applyNumberFormat="1" applyFont="1" applyFill="1"/>
    <x:xf numFmtId="2" fontId="15" fillId="13" borderId="0" xfId="0" applyNumberFormat="1" applyFont="1" applyFill="1"/>
    <x:xf numFmtId="2" fontId="15" fillId="14" borderId="0" xfId="0" applyNumberFormat="1" applyFont="1" applyFill="1"/>
    <x:xf numFmtId="2" fontId="15" fillId="15" borderId="0" xfId="0" applyNumberFormat="1" applyFont="1" applyFill="1"/>
    <x:xf numFmtId="0" fontId="16" fillId="16" borderId="4" xfId="0" applyFont="1" applyFill="1" applyBorder="1" applyAlignment="1">
      <x:alignment vertical="center"/>
    </x:xf>
    <x:xf numFmtId="0" fontId="17" fillId="16" borderId="4" xfId="0" applyFont="1" applyFill="1" applyBorder="1" applyAlignment="1">
      <x:alignment vertical="center"/>
    </x:xf>
    <x:xf numFmtId="0" fontId="16" fillId="16" borderId="4" xfId="0" applyFont="1" applyFill="1" applyBorder="1" applyAlignment="1">
      <x:alignment horizontal="center" vertical="center"/>
    </x:xf>
    <x:xf numFmtId="177" fontId="17" fillId="16" borderId="4" xfId="0" applyNumberFormat="1" applyFont="1" applyFill="1" applyBorder="1" applyAlignment="1">
      <x:alignment horizontal="center" vertical="center"/>
    </x:xf>
    <x:xf numFmtId="177" fontId="16" fillId="16" borderId="4" xfId="0" applyNumberFormat="1" applyFont="1" applyFill="1" applyBorder="1" applyAlignment="1">
      <x:alignment horizontal="center" vertical="center"/>
    </x:xf>
    <x:xf numFmtId="0" fontId="16" fillId="14" borderId="5" xfId="0" applyFont="1" applyFill="1" applyBorder="1" applyAlignment="1">
      <x:alignment vertical="center"/>
    </x:xf>
    <x:xf numFmtId="0" fontId="16" fillId="14" borderId="5" xfId="0" applyFont="1" applyFill="1" applyBorder="1" applyAlignment="1">
      <x:alignment horizontal="center" vertical="center"/>
    </x:xf>
    <x:xf numFmtId="177" fontId="16" fillId="14" borderId="5" xfId="0" applyNumberFormat="1" applyFont="1" applyFill="1" applyBorder="1" applyAlignment="1">
      <x:alignment horizontal="center" vertical="center"/>
    </x:xf>
    <x:xf numFmtId="0" fontId="16" fillId="16" borderId="5" xfId="0" applyFont="1" applyFill="1" applyBorder="1" applyAlignment="1">
      <x:alignment vertical="center"/>
    </x:xf>
    <x:xf numFmtId="0" fontId="16" fillId="16" borderId="5" xfId="0" applyFont="1" applyFill="1" applyBorder="1" applyAlignment="1">
      <x:alignment horizontal="center" vertical="center"/>
    </x:xf>
    <x:xf numFmtId="177" fontId="16" fillId="16" borderId="5" xfId="0" applyNumberFormat="1" applyFont="1" applyFill="1" applyBorder="1" applyAlignment="1">
      <x:alignment horizontal="center" vertical="center"/>
    </x:xf>
    <x:xf numFmtId="0" fontId="17" fillId="14" borderId="5" xfId="0" applyFont="1" applyFill="1" applyBorder="1" applyAlignment="1">
      <x:alignment vertical="center"/>
    </x:xf>
    <x:xf numFmtId="0" fontId="17" fillId="16" borderId="5" xfId="0" applyFont="1" applyFill="1" applyBorder="1" applyAlignment="1">
      <x:alignment vertical="center"/>
    </x:xf>
    <x:xf numFmtId="177" fontId="17" fillId="16" borderId="5" xfId="0" applyNumberFormat="1" applyFont="1" applyFill="1" applyBorder="1" applyAlignment="1">
      <x:alignment horizontal="center" vertical="center"/>
    </x:xf>
    <x:xf numFmtId="177" fontId="17" fillId="14" borderId="5" xfId="0" applyNumberFormat="1" applyFont="1" applyFill="1" applyBorder="1" applyAlignment="1">
      <x:alignment horizontal="center" vertical="center"/>
    </x:xf>
    <x:xf numFmtId="0" fontId="16" fillId="16" borderId="6" xfId="0" applyFont="1" applyFill="1" applyBorder="1" applyAlignment="1">
      <x:alignment vertical="center"/>
    </x:xf>
    <x:xf numFmtId="0" fontId="16" fillId="16" borderId="6" xfId="0" applyFont="1" applyFill="1" applyBorder="1" applyAlignment="1">
      <x:alignment horizontal="center" vertical="center"/>
    </x:xf>
    <x:xf numFmtId="177" fontId="16" fillId="16" borderId="6" xfId="0" applyNumberFormat="1" applyFont="1" applyFill="1" applyBorder="1" applyAlignment="1">
      <x:alignment horizontal="center" vertical="center"/>
    </x:xf>
    <x:xf numFmtId="0" fontId="16" fillId="14" borderId="0" xfId="0" applyFont="1" applyFill="1"/>
    <x:xf numFmtId="0" fontId="16" fillId="16" borderId="0" xfId="0" applyFont="1" applyFill="1"/>
    <x:xf numFmtId="177" fontId="16" fillId="14" borderId="0" xfId="0" applyNumberFormat="1" applyFont="1" applyFill="1"/>
    <x:xf numFmtId="177" fontId="16" fillId="16" borderId="0" xfId="0" applyNumberFormat="1" applyFont="1" applyFill="1"/>
    <x:xf numFmtId="0" fontId="16" fillId="14" borderId="6" xfId="0" applyFont="1" applyFill="1" applyBorder="1" applyAlignment="1">
      <x:alignment vertical="center"/>
    </x:xf>
    <x:xf numFmtId="0" fontId="16" fillId="16" borderId="4" xfId="0" applyFont="1" applyFill="1" applyBorder="1"/>
    <x:xf numFmtId="178" fontId="16" fillId="16" borderId="4" xfId="0" applyNumberFormat="1" applyFont="1" applyFill="1" applyBorder="1" applyAlignment="1">
      <x:alignment vertical="center"/>
    </x:xf>
    <x:xf numFmtId="178" fontId="16" fillId="14" borderId="5" xfId="0" applyNumberFormat="1" applyFont="1" applyFill="1" applyBorder="1" applyAlignment="1">
      <x:alignment vertical="center"/>
    </x:xf>
    <x:xf numFmtId="178" fontId="16" fillId="16" borderId="5" xfId="0" applyNumberFormat="1" applyFont="1" applyFill="1" applyBorder="1" applyAlignment="1">
      <x:alignment vertical="center"/>
    </x:xf>
    <x:xf numFmtId="178" fontId="16" fillId="14" borderId="6" xfId="0" applyNumberFormat="1" applyFont="1" applyFill="1" applyBorder="1" applyAlignment="1">
      <x:alignment vertical="center"/>
    </x:xf>
    <x:xf numFmtId="178" fontId="16" fillId="16" borderId="0" xfId="0" applyNumberFormat="1" applyFont="1" applyFill="1"/>
    <x:xf numFmtId="178" fontId="16" fillId="14" borderId="0" xfId="0" applyNumberFormat="1" applyFont="1" applyFill="1"/>
    <x:xf numFmtId="178" fontId="16" fillId="16" borderId="6" xfId="0" applyNumberFormat="1" applyFont="1" applyFill="1" applyBorder="1" applyAlignment="1">
      <x:alignment vertical="center"/>
    </x:xf>
    <x:xf numFmtId="177" fontId="16" fillId="16" borderId="4" xfId="0" applyNumberFormat="1" applyFont="1" applyFill="1" applyBorder="1" applyAlignment="1">
      <x:alignment vertical="center"/>
    </x:xf>
    <x:xf numFmtId="177" fontId="16" fillId="14" borderId="5" xfId="0" applyNumberFormat="1" applyFont="1" applyFill="1" applyBorder="1" applyAlignment="1">
      <x:alignment vertical="center"/>
    </x:xf>
    <x:xf numFmtId="177" fontId="16" fillId="16" borderId="5" xfId="0" applyNumberFormat="1" applyFont="1" applyFill="1" applyBorder="1" applyAlignment="1">
      <x:alignment vertical="center"/>
    </x:xf>
    <x:xf numFmtId="177" fontId="16" fillId="14" borderId="6" xfId="0" applyNumberFormat="1" applyFont="1" applyFill="1" applyBorder="1" applyAlignment="1">
      <x:alignment vertical="center"/>
    </x:xf>
    <x:xf numFmtId="177" fontId="16" fillId="16" borderId="4" xfId="0" applyNumberFormat="1" applyFont="1" applyFill="1" applyBorder="1"/>
    <x:xf numFmtId="3" fontId="16" fillId="16" borderId="4" xfId="0" applyNumberFormat="1" applyFont="1" applyFill="1" applyBorder="1" applyAlignment="1">
      <x:alignment vertical="center"/>
    </x:xf>
    <x:xf numFmtId="3" fontId="16" fillId="14" borderId="5" xfId="0" applyNumberFormat="1" applyFont="1" applyFill="1" applyBorder="1" applyAlignment="1">
      <x:alignment vertical="center"/>
    </x:xf>
    <x:xf numFmtId="3" fontId="16" fillId="16" borderId="5" xfId="0" applyNumberFormat="1" applyFont="1" applyFill="1" applyBorder="1" applyAlignment="1">
      <x:alignment vertical="center"/>
    </x:xf>
    <x:xf numFmtId="3" fontId="16" fillId="14" borderId="6" xfId="0" applyNumberFormat="1" applyFont="1" applyFill="1" applyBorder="1" applyAlignment="1">
      <x:alignment vertical="center"/>
    </x:xf>
    <x:xf numFmtId="3" fontId="16" fillId="16" borderId="4" xfId="0" applyNumberFormat="1" applyFont="1" applyFill="1" applyBorder="1"/>
    <x:xf numFmtId="3" fontId="16" fillId="14" borderId="0" xfId="0" applyNumberFormat="1" applyFont="1" applyFill="1"/>
    <x:xf numFmtId="3" fontId="16" fillId="16" borderId="0" xfId="0" applyNumberFormat="1" applyFont="1" applyFill="1"/>
    <x:xf numFmtId="3" fontId="16" fillId="16" borderId="6" xfId="0" applyNumberFormat="1" applyFont="1" applyFill="1" applyBorder="1" applyAlignment="1">
      <x:alignment vertical="center"/>
    </x:xf>
    <x:xf numFmtId="2" fontId="16" fillId="16" borderId="4" xfId="0" applyNumberFormat="1" applyFont="1" applyFill="1" applyBorder="1" applyAlignment="1">
      <x:alignment vertical="center"/>
    </x:xf>
    <x:xf numFmtId="2" fontId="16" fillId="14" borderId="5" xfId="0" applyNumberFormat="1" applyFont="1" applyFill="1" applyBorder="1" applyAlignment="1">
      <x:alignment vertical="center"/>
    </x:xf>
    <x:xf numFmtId="2" fontId="16" fillId="16" borderId="5" xfId="0" applyNumberFormat="1" applyFont="1" applyFill="1" applyBorder="1" applyAlignment="1">
      <x:alignment vertical="center"/>
    </x:xf>
    <x:xf numFmtId="2" fontId="16" fillId="16" borderId="6" xfId="0" applyNumberFormat="1" applyFont="1" applyFill="1" applyBorder="1" applyAlignment="1">
      <x:alignment vertical="center"/>
    </x:xf>
    <x:xf numFmtId="2" fontId="16" fillId="14" borderId="0" xfId="0" applyNumberFormat="1" applyFont="1" applyFill="1"/>
    <x:xf numFmtId="2" fontId="16" fillId="16" borderId="0" xfId="0" applyNumberFormat="1" applyFont="1" applyFill="1"/>
    <x:xf numFmtId="0" fontId="1" fillId="2" borderId="0" xfId="1" applyFont="1" applyFill="1" applyAlignment="1">
      <x:alignment vertical="center" wrapText="1"/>
    </x:xf>
    <x:xf numFmtId="0" fontId="2" fillId="3" borderId="0" xfId="1" applyFont="1" applyFill="1" applyAlignment="1">
      <x:alignment wrapText="1"/>
    </x:xf>
    <x:xf numFmtId="0" fontId="0" fillId="0" borderId="0" xfId="0"/>
    <x:xf numFmtId="0" fontId="14" fillId="0" borderId="0" xfId="0" applyFont="1" applyAlignment="1">
      <x:alignment wrapText="1"/>
    </x:xf>
    <x:xf numFmtId="0" fontId="6" fillId="3" borderId="0" xfId="1" applyFont="1" applyFill="1" applyAlignment="1">
      <x:alignment wrapText="1"/>
    </x:xf>
    <x:xf numFmtId="0" fontId="5" fillId="5" borderId="0" xfId="1" applyFont="1" applyFill="1" applyAlignment="1">
      <x:alignment wrapText="1"/>
    </x:xf>
    <x:xf numFmtId="200" fontId="11" fillId="6" borderId="4" xfId="0" applyNumberFormat="1" applyFont="1" applyFill="1" applyBorder="1" applyAlignment="1">
      <x:alignment horizontal="center" vertical="center"/>
    </x:xf>
    <x:xf numFmtId="200" fontId="11" fillId="8" borderId="5" xfId="0" applyNumberFormat="1" applyFont="1" applyFill="1" applyBorder="1" applyAlignment="1">
      <x:alignment horizontal="center" vertical="center"/>
    </x:xf>
    <x:xf numFmtId="200" fontId="11" fillId="9" borderId="5" xfId="0" applyNumberFormat="1" applyFont="1" applyFill="1" applyBorder="1" applyAlignment="1">
      <x:alignment horizontal="center" vertical="center"/>
    </x:xf>
    <x:xf numFmtId="200" fontId="11" fillId="10" borderId="5" xfId="0" applyNumberFormat="1" applyFont="1" applyFill="1" applyBorder="1" applyAlignment="1">
      <x:alignment horizontal="center" vertical="center"/>
    </x:xf>
    <x:xf numFmtId="200" fontId="11" fillId="11" borderId="5" xfId="0" applyNumberFormat="1" applyFont="1" applyFill="1" applyBorder="1" applyAlignment="1">
      <x:alignment horizontal="center" vertical="center"/>
    </x:xf>
    <x:xf numFmtId="200" fontId="11" fillId="12" borderId="5" xfId="0" applyNumberFormat="1" applyFont="1" applyFill="1" applyBorder="1" applyAlignment="1">
      <x:alignment horizontal="center" vertical="center"/>
    </x:xf>
    <x:xf numFmtId="200" fontId="11" fillId="12" borderId="6" xfId="0" applyNumberFormat="1" applyFont="1" applyFill="1" applyBorder="1" applyAlignment="1">
      <x:alignment horizontal="center" vertical="center"/>
    </x:xf>
    <x:xf numFmtId="200" fontId="11" fillId="12" borderId="0" xfId="0" applyNumberFormat="1" applyFont="1" applyFill="1" applyBorder="1" applyAlignment="1">
      <x:alignment wrapText="1"/>
    </x:xf>
    <x:xf numFmtId="200" fontId="13" fillId="13" borderId="0" xfId="0" applyNumberFormat="1" applyFont="1" applyFill="1" applyBorder="1" applyAlignment="1">
      <x:alignment wrapText="1"/>
    </x:xf>
    <x:xf numFmtId="200" fontId="11" fillId="6" borderId="0" xfId="0" applyNumberFormat="1" applyFont="1" applyFill="1" applyBorder="1"/>
    <x:xf numFmtId="200" fontId="11" fillId="15" borderId="0" xfId="0" applyNumberFormat="1" applyFont="1" applyFill="1" applyBorder="1"/>
    <x:xf numFmtId="200" fontId="10" fillId="7" borderId="8" xfId="0" applyNumberFormat="1" applyFont="1" applyFill="1" applyBorder="1" applyAlignment="1">
      <x:alignment horizontal="center" vertical="center"/>
    </x:xf>
    <x:xf numFmtId="200" fontId="4" fillId="6" borderId="5" xfId="0" applyNumberFormat="1" applyFont="1" applyFill="1" applyBorder="1" applyAlignment="1">
      <x:alignment horizontal="center" vertical="center"/>
    </x:xf>
    <x:xf numFmtId="200" fontId="4" fillId="6" borderId="7" xfId="0" applyNumberFormat="1" applyFont="1" applyFill="1" applyBorder="1" applyAlignment="1">
      <x:alignment horizontal="center" vertical="center"/>
    </x:xf>
  </x:cellXfs>
  <x:cellStyles count="2">
    <x:cellStyle name="Normal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2879200bfe4069" /><Relationship Type="http://schemas.openxmlformats.org/officeDocument/2006/relationships/theme" Target="/xl/theme/theme1.xml" Id="R642bd2c771db4f1e" /><Relationship Type="http://schemas.openxmlformats.org/officeDocument/2006/relationships/sharedStrings" Target="/xl/sharedStrings.xml" Id="R500b8d2b051c4fab" /><Relationship Type="http://schemas.openxmlformats.org/officeDocument/2006/relationships/worksheet" Target="/xl/worksheets/sheet1.xml" Id="R1b855a581ab84ef0" /><Relationship Type="http://schemas.openxmlformats.org/officeDocument/2006/relationships/worksheet" Target="/xl/worksheets/sheet2.xml" Id="R0656a36c2e13421b" /><Relationship Type="http://schemas.openxmlformats.org/officeDocument/2006/relationships/worksheet" Target="/xl/worksheets/sheet3.xml" Id="R271f74b087f24008" /><Relationship Type="http://schemas.openxmlformats.org/officeDocument/2006/relationships/worksheet" Target="/xl/worksheets/sheet4.xml" Id="Ra9accd1e8d964592" /><Relationship Type="http://schemas.openxmlformats.org/officeDocument/2006/relationships/worksheet" Target="/xl/worksheets/sheet5.xml" Id="R8e673c366b3245f3" /><Relationship Type="http://schemas.openxmlformats.org/officeDocument/2006/relationships/worksheet" Target="/xl/worksheets/sheet6.xml" Id="R000c32f307da4417" /><Relationship Type="http://schemas.openxmlformats.org/officeDocument/2006/relationships/worksheet" Target="/xl/worksheets/sheet7.xml" Id="Rcd4ed806307d4b92" /><Relationship Type="http://schemas.openxmlformats.org/officeDocument/2006/relationships/worksheet" Target="/xl/worksheets/sheet8.xml" Id="Rd9aac49c92ee4d18" /><Relationship Type="http://schemas.openxmlformats.org/officeDocument/2006/relationships/worksheet" Target="/xl/worksheets/sheet9.xml" Id="Rf2f8ada5eb544aec" /><Relationship Type="http://schemas.openxmlformats.org/officeDocument/2006/relationships/worksheet" Target="/xl/worksheets/sheet10.xml" Id="R417e17e0452f4603" /><Relationship Type="http://schemas.openxmlformats.org/officeDocument/2006/relationships/worksheet" Target="/xl/worksheets/sheet11.xml" Id="R8d278e5805384e8d" /></Relationships>
</file>

<file path=xl/tables/table1.xml><?xml version="1.0" encoding="utf-8"?>
<x:table xmlns:x="http://schemas.openxmlformats.org/spreadsheetml/2006/main" id="1" name="CostInputsTable" displayName="CostInputsTable" ref="A4:P18" totalsRowShown="0">
  <x:tableColumns count="16">
    <x:tableColumn id="1" name="Release date"/>
    <x:tableColumn id="2" name="Method ID"/>
    <x:tableColumn id="3" name="Model"/>
    <x:tableColumn id="4" name="Reasoning"/>
    <x:tableColumn id="5" name="Provider"/>
    <x:tableColumn id="6" name="Records"/>
    <x:tableColumn id="7" name="Input tokens"/>
    <x:tableColumn id="8" name="Output tokens"/>
    <x:tableColumn id="9" name="Reasoning tokens"/>
    <x:tableColumn id="10" name="Billable output tokens"/>
    <x:tableColumn id="11" name="Input rate_x000a_USD/1M"/>
    <x:tableColumn id="12" name="Output rate_x000a_USD/1M"/>
    <x:tableColumn id="13" name="Input cost_x000a_USD"/>
    <x:tableColumn id="14" name="Output cost_x000a_USD"/>
    <x:tableColumn id="15" name="Total cost_x000a_USD"/>
    <x:tableColumn id="16" name="Pricing assumption /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elSummaryTable" displayName="ModelSummaryTable" ref="A3:S16" totalsRowShown="0">
  <x:tableColumns count="19">
    <x:tableColumn id="1" name="Release date"/>
    <x:tableColumn id="2" name="Model"/>
    <x:tableColumn id="3" name="Provider-defined tier"/>
    <x:tableColumn id="4" name="Reasoning"/>
    <x:tableColumn id="5" name="Extraction correct"/>
    <x:tableColumn id="6" name="Extraction total"/>
    <x:tableColumn id="7" name="Extraction accuracy"/>
    <x:tableColumn id="8" name="TP"/>
    <x:tableColumn id="9" name="FN"/>
    <x:tableColumn id="10" name="FP"/>
    <x:tableColumn id="11" name="TN"/>
    <x:tableColumn id="12" name="Clean saved"/>
    <x:tableColumn id="13" name="Noisy filtered"/>
    <x:tableColumn id="14" name="Denoising accuracy"/>
    <x:tableColumn id="15" name="E2E correct"/>
    <x:tableColumn id="16" name="Strict E2E accuracy"/>
    <x:tableColumn id="17" name="Input cost_x000a_USD"/>
    <x:tableColumn id="18" name="Output cost_x000a_USD"/>
    <x:tableColumn id="19" name="Total cost_x000a_US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llHeuristicsTable" displayName="AllHeuristicsTable" ref="A3:N68" totalsRowShown="0">
  <x:tableColumns count="14">
    <x:tableColumn id="1" name="Release date"/>
    <x:tableColumn id="2" name="Model"/>
    <x:tableColumn id="3" name="Tier"/>
    <x:tableColumn id="4" name="Reasoning"/>
    <x:tableColumn id="5" name="Heuristic"/>
    <x:tableColumn id="6" name="Noise-free N"/>
    <x:tableColumn id="7" name="Noisy N"/>
    <x:tableColumn id="8" name="TP"/>
    <x:tableColumn id="9" name="FN"/>
    <x:tableColumn id="10" name="FP"/>
    <x:tableColumn id="11" name="TN"/>
    <x:tableColumn id="12" name="Clean saved"/>
    <x:tableColumn id="13" name="Noisy filtered"/>
    <x:tableColumn id="14" name="Denoising accurac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awExtractionTable" displayName="RawExtractionTable" ref="A1:X15" totalsRowShown="0">
  <x:tableColumns count="24">
    <x:tableColumn id="1" name="method"/>
    <x:tableColumn id="2" name="extraction_method"/>
    <x:tableColumn id="3" name="evaluated_reactions"/>
    <x:tableColumn id="4" name="excluded_reactions"/>
    <x:tableColumn id="5" name="reactants_tp"/>
    <x:tableColumn id="6" name="reactants_fp"/>
    <x:tableColumn id="7" name="reactants_fn"/>
    <x:tableColumn id="8" name="reactants_precision"/>
    <x:tableColumn id="9" name="reactants_recall"/>
    <x:tableColumn id="10" name="reagents_tp"/>
    <x:tableColumn id="11" name="reagents_fp"/>
    <x:tableColumn id="12" name="reagents_fn"/>
    <x:tableColumn id="13" name="reagents_precision"/>
    <x:tableColumn id="14" name="reagents_recall"/>
    <x:tableColumn id="15" name="products_tp"/>
    <x:tableColumn id="16" name="products_fp"/>
    <x:tableColumn id="17" name="products_fn"/>
    <x:tableColumn id="18" name="products_precision"/>
    <x:tableColumn id="19" name="products_recall"/>
    <x:tableColumn id="20" name="reaction_correct"/>
    <x:tableColumn id="21" name="reaction_incorrect"/>
    <x:tableColumn id="22" name="reaction_accuracy"/>
    <x:tableColumn id="23" name="reaction_accuracy_ci_lower"/>
    <x:tableColumn id="24" name="reaction_accuracy_ci_uppe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awDenoisingTable" displayName="RawDenoisingTable" ref="A1:M66" totalsRowShown="0">
  <x:tableColumns count="13">
    <x:tableColumn id="1" name="model"/>
    <x:tableColumn id="2" name="heuristic"/>
    <x:tableColumn id="3" name="heuristic_type"/>
    <x:tableColumn id="4" name="noise_free_reactions"/>
    <x:tableColumn id="5" name="noisy_reactions"/>
    <x:tableColumn id="6" name="total_reactions"/>
    <x:tableColumn id="7" name="passed_tp"/>
    <x:tableColumn id="8" name="filtered_fn"/>
    <x:tableColumn id="9" name="passed_fp"/>
    <x:tableColumn id="10" name="filtered_tn"/>
    <x:tableColumn id="11" name="noise_free_data_saved_rate"/>
    <x:tableColumn id="12" name="noisy_data_filtered_rate"/>
    <x:tableColumn id="13" name="denoising_accurac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9" name="RawPipelineSummaryTable" displayName="RawPipelineSummaryTable" ref="A1:Q14" totalsRowShown="0">
  <x:tableColumns count="17">
    <x:tableColumn id="1" name="release_date"/>
    <x:tableColumn id="2" name="model"/>
    <x:tableColumn id="3" name="model_tier"/>
    <x:tableColumn id="4" name="comparison_group"/>
    <x:tableColumn id="5" name="reasoning"/>
    <x:tableColumn id="6" name="extraction_correct"/>
    <x:tableColumn id="7" name="extraction_total"/>
    <x:tableColumn id="8" name="extraction_accuracy_pct"/>
    <x:tableColumn id="9" name="denoising_correct"/>
    <x:tableColumn id="10" name="denoising_total"/>
    <x:tableColumn id="11" name="denoising_accuracy_pct"/>
    <x:tableColumn id="12" name="end_to_end_correct"/>
    <x:tableColumn id="13" name="end_to_end_total"/>
    <x:tableColumn id="14" name="end_to_end_accuracy_pct"/>
    <x:tableColumn id="15" name="input_tokens"/>
    <x:tableColumn id="16" name="output_tokens"/>
    <x:tableColumn id="17" name="reasoning_token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awBenchmarkMetricsTable" displayName="RawBenchmarkMetricsTable" ref="A1:G40" totalsRowShown="0">
  <x:tableColumns count="7">
    <x:tableColumn id="1" name="model"/>
    <x:tableColumn id="2" name="metric"/>
    <x:tableColumn id="3" name="correct"/>
    <x:tableColumn id="4" name="total"/>
    <x:tableColumn id="5" name="rate"/>
    <x:tableColumn id="6" name="ci95_lower"/>
    <x:tableColumn id="7" name="ci95_upp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awTokenUsageTable" displayName="RawTokenUsageTable" ref="A1:G14" totalsRowShown="0">
  <x:tableColumns count="7">
    <x:tableColumn id="1" name="model"/>
    <x:tableColumn id="2" name="records"/>
    <x:tableColumn id="3" name="input_tokens"/>
    <x:tableColumn id="4" name="output_tokens"/>
    <x:tableColumn id="5" name="reasoning_tokens"/>
    <x:tableColumn id="6" name="mean_latency_seconds_direct_calls_only"/>
    <x:tableColumn id="7" name="latency_recor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2b0de0772145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a71c6d083c744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e6fa7f917d7e44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e79e0a0e3a74a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6867bf95ddb48b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28a2fa3de594dd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b286387ce7b24de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0fb89107842b44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2" customWidth="1"/>
    <x:col min="2" max="2" width="34" customWidth="1"/>
    <x:col min="3" max="3" width="24" customWidth="1"/>
    <x:col min="4" max="4" width="20" customWidth="1"/>
    <x:col min="5" max="6" width="10" customWidth="1"/>
    <x:col min="7" max="8" width="15" customWidth="1"/>
    <x:col min="9" max="9" width="16" customWidth="1"/>
    <x:col min="10" max="10" width="18" customWidth="1"/>
    <x:col min="11" max="15" width="13" customWidth="1"/>
    <x:col min="16" max="16" width="58" customWidth="1"/>
  </x:cols>
  <x:sheetData>
    <x:row r="1" ht="16.700000762939453" customHeight="1">
      <x:c r="A1" s="181" t="s">
        <x:v>0</x:v>
      </x:c>
      <x:c r="B1" s="181" t="s">
        <x:v>0</x:v>
      </x:c>
      <x:c r="C1" s="181" t="s">
        <x:v>0</x:v>
      </x:c>
      <x:c r="D1" s="181" t="s">
        <x:v>0</x:v>
      </x:c>
      <x:c r="E1" s="181" t="s">
        <x:v>0</x:v>
      </x:c>
      <x:c r="F1" s="181" t="s">
        <x:v>0</x:v>
      </x:c>
      <x:c r="G1" s="181" t="s">
        <x:v>0</x:v>
      </x:c>
      <x:c r="H1" s="181" t="s">
        <x:v>0</x:v>
      </x:c>
      <x:c r="I1" s="181" t="s">
        <x:v>0</x:v>
      </x:c>
      <x:c r="J1" s="181" t="s">
        <x:v>0</x:v>
      </x:c>
      <x:c r="K1" s="181" t="s">
        <x:v>0</x:v>
      </x:c>
      <x:c r="L1" s="181" t="s">
        <x:v>0</x:v>
      </x:c>
      <x:c r="M1" s="181" t="s">
        <x:v>0</x:v>
      </x:c>
      <x:c r="N1" s="181" t="s">
        <x:v>0</x:v>
      </x:c>
      <x:c r="O1" s="181" t="s">
        <x:v>0</x:v>
      </x:c>
      <x:c r="P1" s="181" t="s">
        <x:v>0</x:v>
      </x:c>
    </x:row>
    <x:row r="2" ht="14.25" customHeight="1">
      <x:c r="A2" s="182" t="s">
        <x:v>1</x:v>
      </x:c>
      <x:c r="B2" s="182" t="s">
        <x:v>2</x:v>
      </x:c>
      <x:c r="C2" s="182" t="s">
        <x:v>2</x:v>
      </x:c>
      <x:c r="D2" s="182" t="s">
        <x:v>2</x:v>
      </x:c>
      <x:c r="E2" s="182" t="s">
        <x:v>2</x:v>
      </x:c>
      <x:c r="F2" s="182" t="s">
        <x:v>2</x:v>
      </x:c>
      <x:c r="G2" s="182" t="s">
        <x:v>2</x:v>
      </x:c>
      <x:c r="H2" s="182" t="s">
        <x:v>2</x:v>
      </x:c>
      <x:c r="I2" s="182" t="s">
        <x:v>2</x:v>
      </x:c>
      <x:c r="J2" s="182" t="s">
        <x:v>2</x:v>
      </x:c>
      <x:c r="K2" s="182" t="s">
        <x:v>2</x:v>
      </x:c>
      <x:c r="L2" s="182" t="s">
        <x:v>2</x:v>
      </x:c>
      <x:c r="M2" s="182" t="s">
        <x:v>2</x:v>
      </x:c>
      <x:c r="N2" s="182" t="s">
        <x:v>2</x:v>
      </x:c>
      <x:c r="O2" s="182" t="s">
        <x:v>2</x:v>
      </x:c>
      <x:c r="P2" s="182" t="s">
        <x:v>2</x:v>
      </x:c>
    </x:row>
    <x:row r="3" ht="14.25" customHeight="1"/>
    <x:row r="4" ht="24" customHeight="1">
      <x:c r="A4" s="1" t="s">
        <x:v>3</x:v>
      </x:c>
      <x:c r="B4" s="2" t="s">
        <x:v>4</x:v>
      </x:c>
      <x:c r="C4" s="2" t="s">
        <x:v>5</x:v>
      </x:c>
      <x:c r="D4" s="2" t="s">
        <x:v>6</x:v>
      </x:c>
      <x:c r="E4" s="2" t="s">
        <x:v>7</x:v>
      </x:c>
      <x:c r="F4" s="2" t="s">
        <x:v>8</x:v>
      </x:c>
      <x:c r="G4" s="2" t="s">
        <x:v>9</x:v>
      </x:c>
      <x:c r="H4" s="2" t="s">
        <x:v>10</x:v>
      </x:c>
      <x:c r="I4" s="2" t="s">
        <x:v>11</x:v>
      </x:c>
      <x:c r="J4" s="2" t="s">
        <x:v>12</x:v>
      </x:c>
      <x:c r="K4" s="2" t="s">
        <x:v>13</x:v>
      </x:c>
      <x:c r="L4" s="2" t="s">
        <x:v>14</x:v>
      </x:c>
      <x:c r="M4" s="2" t="s">
        <x:v>15</x:v>
      </x:c>
      <x:c r="N4" s="2" t="s">
        <x:v>16</x:v>
      </x:c>
      <x:c r="O4" s="2" t="s">
        <x:v>17</x:v>
      </x:c>
      <x:c r="P4" s="3" t="s">
        <x:v>18</x:v>
      </x:c>
    </x:row>
    <x:row r="5" ht="14.25" customHeight="1">
      <x:c r="A5" s="91"/>
      <x:c r="B5" s="91" t="s">
        <x:v>19</x:v>
      </x:c>
      <x:c r="C5" s="91" t="s">
        <x:v>20</x:v>
      </x:c>
      <x:c r="D5" s="91" t="s">
        <x:v>21</x:v>
      </x:c>
      <x:c r="E5" s="91" t="s">
        <x:v>22</x:v>
      </x:c>
      <x:c r="F5" s="115"/>
      <x:c r="G5" s="115"/>
      <x:c r="H5" s="115"/>
      <x:c r="I5" s="115"/>
      <x:c r="J5" s="115" t="s">
        <x:v>23</x:v>
      </x:c>
      <x:c r="K5" s="126"/>
      <x:c r="L5" s="126"/>
      <x:c r="M5" s="126" t="s">
        <x:v>23</x:v>
      </x:c>
      <x:c r="N5" s="126" t="s">
        <x:v>23</x:v>
      </x:c>
      <x:c r="O5" s="126" t="s">
        <x:v>23</x:v>
      </x:c>
      <x:c r="P5" s="92" t="s">
        <x:v>24</x:v>
      </x:c>
    </x:row>
    <x:row r="6" ht="24" customHeight="1">
      <x:c r="A6" s="93" t="s">
        <x:v>25</x:v>
      </x:c>
      <x:c r="B6" s="93" t="s">
        <x:v>26</x:v>
      </x:c>
      <x:c r="C6" s="93" t="s">
        <x:v>27</x:v>
      </x:c>
      <x:c r="D6" s="93" t="s">
        <x:v>28</x:v>
      </x:c>
      <x:c r="E6" s="93" t="s">
        <x:v>29</x:v>
      </x:c>
      <x:c r="F6" s="116">
        <x:v>400</x:v>
      </x:c>
      <x:c r="G6" s="116" t="s">
        <x:v>23</x:v>
      </x:c>
      <x:c r="H6" s="116">
        <x:v>95844</x:v>
      </x:c>
      <x:c r="I6" s="116">
        <x:v>0</x:v>
      </x:c>
      <x:c r="J6" s="116" t="s">
        <x:v>23</x:v>
      </x:c>
      <x:c r="K6" s="94" t="s">
        <x:v>23</x:v>
      </x:c>
      <x:c r="L6" s="94" t="s">
        <x:v>23</x:v>
      </x:c>
      <x:c r="M6" s="94" t="str">
        <x:f t="shared" ref="M6:M18" si="0">G6/1000000*K6</x:f>
        <x:v>N/A</x:v>
      </x:c>
      <x:c r="N6" s="94" t="str">
        <x:f t="shared" ref="N6:N18" si="1">J6/1000000*L6</x:f>
        <x:v>N/A</x:v>
      </x:c>
      <x:c r="O6" s="94" t="str">
        <x:f t="shared" ref="O6:O18" si="2">M6+N6</x:f>
        <x:v>N/A</x:v>
      </x:c>
      <x:c r="P6" s="95" t="s">
        <x:v>30</x:v>
      </x:c>
    </x:row>
    <x:row r="7" ht="24" customHeight="1">
      <x:c r="A7" s="93" t="s">
        <x:v>25</x:v>
      </x:c>
      <x:c r="B7" s="93" t="s">
        <x:v>31</x:v>
      </x:c>
      <x:c r="C7" s="93" t="s">
        <x:v>27</x:v>
      </x:c>
      <x:c r="D7" s="93" t="s">
        <x:v>32</x:v>
      </x:c>
      <x:c r="E7" s="93" t="s">
        <x:v>29</x:v>
      </x:c>
      <x:c r="F7" s="116">
        <x:v>400</x:v>
      </x:c>
      <x:c r="G7" s="116" t="s">
        <x:v>23</x:v>
      </x:c>
      <x:c r="H7" s="116">
        <x:v>104456</x:v>
      </x:c>
      <x:c r="I7" s="116">
        <x:v>102400</x:v>
      </x:c>
      <x:c r="J7" s="116" t="s">
        <x:v>23</x:v>
      </x:c>
      <x:c r="K7" s="94" t="s">
        <x:v>23</x:v>
      </x:c>
      <x:c r="L7" s="94" t="s">
        <x:v>23</x:v>
      </x:c>
      <x:c r="M7" s="94" t="str">
        <x:f t="shared" si="0"/>
        <x:v>N/A</x:v>
      </x:c>
      <x:c r="N7" s="94" t="str">
        <x:f t="shared" si="1"/>
        <x:v>N/A</x:v>
      </x:c>
      <x:c r="O7" s="94" t="str">
        <x:f t="shared" si="2"/>
        <x:v>N/A</x:v>
      </x:c>
      <x:c r="P7" s="95" t="s">
        <x:v>30</x:v>
      </x:c>
    </x:row>
    <x:row r="8" ht="24" customHeight="1">
      <x:c r="A8" s="93" t="s">
        <x:v>25</x:v>
      </x:c>
      <x:c r="B8" s="93" t="s">
        <x:v>33</x:v>
      </x:c>
      <x:c r="C8" s="93" t="s">
        <x:v>27</x:v>
      </x:c>
      <x:c r="D8" s="93" t="s">
        <x:v>34</x:v>
      </x:c>
      <x:c r="E8" s="93" t="s">
        <x:v>29</x:v>
      </x:c>
      <x:c r="F8" s="116">
        <x:v>400</x:v>
      </x:c>
      <x:c r="G8" s="116" t="s">
        <x:v>23</x:v>
      </x:c>
      <x:c r="H8" s="116">
        <x:v>106329</x:v>
      </x:c>
      <x:c r="I8" s="116">
        <x:v>409600</x:v>
      </x:c>
      <x:c r="J8" s="116" t="s">
        <x:v>23</x:v>
      </x:c>
      <x:c r="K8" s="94" t="s">
        <x:v>23</x:v>
      </x:c>
      <x:c r="L8" s="94" t="s">
        <x:v>23</x:v>
      </x:c>
      <x:c r="M8" s="94" t="str">
        <x:f t="shared" si="0"/>
        <x:v>N/A</x:v>
      </x:c>
      <x:c r="N8" s="94" t="str">
        <x:f t="shared" si="1"/>
        <x:v>N/A</x:v>
      </x:c>
      <x:c r="O8" s="94" t="str">
        <x:f t="shared" si="2"/>
        <x:v>N/A</x:v>
      </x:c>
      <x:c r="P8" s="95" t="s">
        <x:v>30</x:v>
      </x:c>
    </x:row>
    <x:row r="9" ht="24" customHeight="1">
      <x:c r="A9" s="96" t="s">
        <x:v>25</x:v>
      </x:c>
      <x:c r="B9" s="96" t="s">
        <x:v>35</x:v>
      </x:c>
      <x:c r="C9" s="96" t="s">
        <x:v>36</x:v>
      </x:c>
      <x:c r="D9" s="96" t="s">
        <x:v>28</x:v>
      </x:c>
      <x:c r="E9" s="96" t="s">
        <x:v>29</x:v>
      </x:c>
      <x:c r="F9" s="117">
        <x:v>400</x:v>
      </x:c>
      <x:c r="G9" s="117" t="s">
        <x:v>23</x:v>
      </x:c>
      <x:c r="H9" s="117">
        <x:v>100306</x:v>
      </x:c>
      <x:c r="I9" s="117">
        <x:v>0</x:v>
      </x:c>
      <x:c r="J9" s="117" t="s">
        <x:v>23</x:v>
      </x:c>
      <x:c r="K9" s="97" t="s">
        <x:v>23</x:v>
      </x:c>
      <x:c r="L9" s="97" t="s">
        <x:v>23</x:v>
      </x:c>
      <x:c r="M9" s="97" t="str">
        <x:f t="shared" si="0"/>
        <x:v>N/A</x:v>
      </x:c>
      <x:c r="N9" s="97" t="str">
        <x:f t="shared" si="1"/>
        <x:v>N/A</x:v>
      </x:c>
      <x:c r="O9" s="97" t="str">
        <x:f t="shared" si="2"/>
        <x:v>N/A</x:v>
      </x:c>
      <x:c r="P9" s="98" t="s">
        <x:v>30</x:v>
      </x:c>
    </x:row>
    <x:row r="10" ht="24" customHeight="1">
      <x:c r="A10" s="96" t="s">
        <x:v>25</x:v>
      </x:c>
      <x:c r="B10" s="96" t="s">
        <x:v>37</x:v>
      </x:c>
      <x:c r="C10" s="96" t="s">
        <x:v>36</x:v>
      </x:c>
      <x:c r="D10" s="96" t="s">
        <x:v>32</x:v>
      </x:c>
      <x:c r="E10" s="96" t="s">
        <x:v>29</x:v>
      </x:c>
      <x:c r="F10" s="117">
        <x:v>400</x:v>
      </x:c>
      <x:c r="G10" s="117" t="s">
        <x:v>23</x:v>
      </x:c>
      <x:c r="H10" s="117">
        <x:v>99165</x:v>
      </x:c>
      <x:c r="I10" s="117">
        <x:v>102400</x:v>
      </x:c>
      <x:c r="J10" s="117" t="s">
        <x:v>23</x:v>
      </x:c>
      <x:c r="K10" s="97" t="s">
        <x:v>23</x:v>
      </x:c>
      <x:c r="L10" s="97" t="s">
        <x:v>23</x:v>
      </x:c>
      <x:c r="M10" s="97" t="str">
        <x:f t="shared" si="0"/>
        <x:v>N/A</x:v>
      </x:c>
      <x:c r="N10" s="97" t="str">
        <x:f t="shared" si="1"/>
        <x:v>N/A</x:v>
      </x:c>
      <x:c r="O10" s="97" t="str">
        <x:f t="shared" si="2"/>
        <x:v>N/A</x:v>
      </x:c>
      <x:c r="P10" s="98" t="s">
        <x:v>30</x:v>
      </x:c>
    </x:row>
    <x:row r="11" ht="24" customHeight="1">
      <x:c r="A11" s="96" t="s">
        <x:v>25</x:v>
      </x:c>
      <x:c r="B11" s="96" t="s">
        <x:v>38</x:v>
      </x:c>
      <x:c r="C11" s="96" t="s">
        <x:v>36</x:v>
      </x:c>
      <x:c r="D11" s="96" t="s">
        <x:v>34</x:v>
      </x:c>
      <x:c r="E11" s="96" t="s">
        <x:v>29</x:v>
      </x:c>
      <x:c r="F11" s="117">
        <x:v>400</x:v>
      </x:c>
      <x:c r="G11" s="117" t="s">
        <x:v>23</x:v>
      </x:c>
      <x:c r="H11" s="117">
        <x:v>100337</x:v>
      </x:c>
      <x:c r="I11" s="117">
        <x:v>409600</x:v>
      </x:c>
      <x:c r="J11" s="117" t="n">
        <x:f t="shared" ref="J11:J16" si="3">H11</x:f>
        <x:v>100337</x:v>
      </x:c>
      <x:c r="K11" s="97" t="s">
        <x:v>23</x:v>
      </x:c>
      <x:c r="L11" s="97" t="s">
        <x:v>23</x:v>
      </x:c>
      <x:c r="M11" s="97" t="str">
        <x:f t="shared" si="0"/>
        <x:v>N/A</x:v>
      </x:c>
      <x:c r="N11" s="97" t="str">
        <x:f t="shared" si="1"/>
        <x:v>N/A</x:v>
      </x:c>
      <x:c r="O11" s="97" t="str">
        <x:f t="shared" si="2"/>
        <x:v>N/A</x:v>
      </x:c>
      <x:c r="P11" s="98" t="s">
        <x:v>30</x:v>
      </x:c>
    </x:row>
    <x:row r="12" ht="36" customHeight="1">
      <x:c r="A12" s="99" t="s">
        <x:v>39</x:v>
      </x:c>
      <x:c r="B12" s="99" t="s">
        <x:v>40</x:v>
      </x:c>
      <x:c r="C12" s="99" t="s">
        <x:v>41</x:v>
      </x:c>
      <x:c r="D12" s="99" t="s">
        <x:v>28</x:v>
      </x:c>
      <x:c r="E12" s="99" t="s">
        <x:v>42</x:v>
      </x:c>
      <x:c r="F12" s="118">
        <x:v>400</x:v>
      </x:c>
      <x:c r="G12" s="118">
        <x:v>1619365</x:v>
      </x:c>
      <x:c r="H12" s="118">
        <x:v>101227</x:v>
      </x:c>
      <x:c r="I12" s="118">
        <x:v>0</x:v>
      </x:c>
      <x:c r="J12" s="118">
        <x:f t="shared" si="3"/>
        <x:v>101227</x:v>
      </x:c>
      <x:c r="K12" s="100">
        <x:v>0.4</x:v>
      </x:c>
      <x:c r="L12" s="100">
        <x:v>1.6</x:v>
      </x:c>
      <x:c r="M12" s="100">
        <x:f t="shared" si="0"/>
        <x:v>0.64774600000000004</x:v>
      </x:c>
      <x:c r="N12" s="100">
        <x:f t="shared" si="1"/>
        <x:v>0.1619632</x:v>
      </x:c>
      <x:c r="O12" s="100">
        <x:f t="shared" si="2"/>
        <x:v>0.80970920000000002</x:v>
      </x:c>
      <x:c r="P12" s="101" t="s">
        <x:v>43</x:v>
      </x:c>
    </x:row>
    <x:row r="13" ht="24" customHeight="1">
      <x:c r="A13" s="99" t="s">
        <x:v>39</x:v>
      </x:c>
      <x:c r="B13" s="99" t="s">
        <x:v>44</x:v>
      </x:c>
      <x:c r="C13" s="99" t="s">
        <x:v>45</x:v>
      </x:c>
      <x:c r="D13" s="99" t="s">
        <x:v>28</x:v>
      </x:c>
      <x:c r="E13" s="99" t="s">
        <x:v>42</x:v>
      </x:c>
      <x:c r="F13" s="118">
        <x:v>400</x:v>
      </x:c>
      <x:c r="G13" s="118">
        <x:v>1619365</x:v>
      </x:c>
      <x:c r="H13" s="118">
        <x:v>131302</x:v>
      </x:c>
      <x:c r="I13" s="118">
        <x:v>0</x:v>
      </x:c>
      <x:c r="J13" s="118">
        <x:f t="shared" si="3"/>
        <x:v>131302</x:v>
      </x:c>
      <x:c r="K13" s="100">
        <x:v>0.8</x:v>
      </x:c>
      <x:c r="L13" s="100">
        <x:v>3.2</x:v>
      </x:c>
      <x:c r="M13" s="100">
        <x:f t="shared" si="0"/>
        <x:v>1.2954920000000001</x:v>
      </x:c>
      <x:c r="N13" s="100">
        <x:f t="shared" si="1"/>
        <x:v>0.42016640000000005</x:v>
      </x:c>
      <x:c r="O13" s="100">
        <x:f t="shared" si="2"/>
        <x:v>1.7156584000000001</x:v>
      </x:c>
      <x:c r="P13" s="101" t="s">
        <x:v>46</x:v>
      </x:c>
    </x:row>
    <x:row r="14" ht="24" customHeight="1">
      <x:c r="A14" s="102" t="s">
        <x:v>47</x:v>
      </x:c>
      <x:c r="B14" s="102" t="s">
        <x:v>48</x:v>
      </x:c>
      <x:c r="C14" s="102" t="s">
        <x:v>49</x:v>
      </x:c>
      <x:c r="D14" s="102" t="s">
        <x:v>28</x:v>
      </x:c>
      <x:c r="E14" s="102" t="s">
        <x:v>42</x:v>
      </x:c>
      <x:c r="F14" s="119">
        <x:v>400</x:v>
      </x:c>
      <x:c r="G14" s="119">
        <x:v>1619365</x:v>
      </x:c>
      <x:c r="H14" s="119">
        <x:v>101311</x:v>
      </x:c>
      <x:c r="I14" s="119">
        <x:v>0</x:v>
      </x:c>
      <x:c r="J14" s="119">
        <x:f t="shared" si="3"/>
        <x:v>101311</x:v>
      </x:c>
      <x:c r="K14" s="103">
        <x:v>2.5</x:v>
      </x:c>
      <x:c r="L14" s="103">
        <x:v>15</x:v>
      </x:c>
      <x:c r="M14" s="103">
        <x:f t="shared" si="0"/>
        <x:v>4.0484124999999995</x:v>
      </x:c>
      <x:c r="N14" s="103">
        <x:f t="shared" si="1"/>
        <x:v>1.519665</x:v>
      </x:c>
      <x:c r="O14" s="103">
        <x:f t="shared" si="2"/>
        <x:v>5.5680774999999993</x:v>
      </x:c>
      <x:c r="P14" s="104" t="s">
        <x:v>50</x:v>
      </x:c>
    </x:row>
    <x:row r="15" ht="24" customHeight="1">
      <x:c r="A15" s="102" t="s">
        <x:v>47</x:v>
      </x:c>
      <x:c r="B15" s="102" t="s">
        <x:v>51</x:v>
      </x:c>
      <x:c r="C15" s="102" t="s">
        <x:v>49</x:v>
      </x:c>
      <x:c r="D15" s="102" t="s">
        <x:v>32</x:v>
      </x:c>
      <x:c r="E15" s="102" t="s">
        <x:v>42</x:v>
      </x:c>
      <x:c r="F15" s="119">
        <x:v>400</x:v>
      </x:c>
      <x:c r="G15" s="119">
        <x:v>1619365</x:v>
      </x:c>
      <x:c r="H15" s="119">
        <x:v>157786</x:v>
      </x:c>
      <x:c r="I15" s="119">
        <x:v>59474</x:v>
      </x:c>
      <x:c r="J15" s="119">
        <x:f t="shared" si="3"/>
        <x:v>157786</x:v>
      </x:c>
      <x:c r="K15" s="103">
        <x:v>2.5</x:v>
      </x:c>
      <x:c r="L15" s="103">
        <x:v>15</x:v>
      </x:c>
      <x:c r="M15" s="103">
        <x:f t="shared" si="0"/>
        <x:v>4.0484124999999995</x:v>
      </x:c>
      <x:c r="N15" s="103">
        <x:f t="shared" si="1"/>
        <x:v>2.3667899999999999</x:v>
      </x:c>
      <x:c r="O15" s="103">
        <x:f t="shared" si="2"/>
        <x:v>6.4152024999999995</x:v>
      </x:c>
      <x:c r="P15" s="104" t="s">
        <x:v>50</x:v>
      </x:c>
    </x:row>
    <x:row r="16" ht="24" customHeight="1">
      <x:c r="A16" s="102" t="s">
        <x:v>47</x:v>
      </x:c>
      <x:c r="B16" s="102" t="s">
        <x:v>52</x:v>
      </x:c>
      <x:c r="C16" s="102" t="s">
        <x:v>49</x:v>
      </x:c>
      <x:c r="D16" s="102" t="s">
        <x:v>34</x:v>
      </x:c>
      <x:c r="E16" s="102" t="s">
        <x:v>42</x:v>
      </x:c>
      <x:c r="F16" s="119">
        <x:v>400</x:v>
      </x:c>
      <x:c r="G16" s="119">
        <x:v>1619365</x:v>
      </x:c>
      <x:c r="H16" s="119">
        <x:v>1276440</x:v>
      </x:c>
      <x:c r="I16" s="119">
        <x:v>1176995</x:v>
      </x:c>
      <x:c r="J16" s="119">
        <x:f t="shared" si="3"/>
        <x:v>1276440</x:v>
      </x:c>
      <x:c r="K16" s="103">
        <x:v>2.5</x:v>
      </x:c>
      <x:c r="L16" s="103">
        <x:v>15</x:v>
      </x:c>
      <x:c r="M16" s="103">
        <x:f t="shared" si="0"/>
        <x:v>4.0484124999999995</x:v>
      </x:c>
      <x:c r="N16" s="103">
        <x:f t="shared" si="1"/>
        <x:v>19.146599999999999</x:v>
      </x:c>
      <x:c r="O16" s="103">
        <x:f t="shared" si="2"/>
        <x:v>23.195012499999997</x:v>
      </x:c>
      <x:c r="P16" s="104" t="s">
        <x:v>50</x:v>
      </x:c>
    </x:row>
    <x:row r="17" ht="24" customHeight="1">
      <x:c r="A17" s="105" t="s">
        <x:v>53</x:v>
      </x:c>
      <x:c r="B17" s="105" t="s">
        <x:v>54</x:v>
      </x:c>
      <x:c r="C17" s="105" t="s">
        <x:v>55</x:v>
      </x:c>
      <x:c r="D17" s="105" t="s">
        <x:v>28</x:v>
      </x:c>
      <x:c r="E17" s="105" t="s">
        <x:v>42</x:v>
      </x:c>
      <x:c r="F17" s="120">
        <x:v>400</x:v>
      </x:c>
      <x:c r="G17" s="120">
        <x:v>1619365</x:v>
      </x:c>
      <x:c r="H17" s="120">
        <x:v>97523</x:v>
      </x:c>
      <x:c r="I17" s="120">
        <x:v>0</x:v>
      </x:c>
      <x:c r="J17" s="120">
        <x:v>97523</x:v>
      </x:c>
      <x:c r="K17" s="106">
        <x:v>5</x:v>
      </x:c>
      <x:c r="L17" s="106">
        <x:v>30</x:v>
      </x:c>
      <x:c r="M17" s="106">
        <x:f t="shared" si="0"/>
        <x:v>8.0968249999999991</x:v>
      </x:c>
      <x:c r="N17" s="106">
        <x:f t="shared" si="1"/>
        <x:v>2.9256899999999999</x:v>
      </x:c>
      <x:c r="O17" s="106">
        <x:f t="shared" si="2"/>
        <x:v>11.022514999999999</x:v>
      </x:c>
      <x:c r="P17" s="107" t="s">
        <x:v>56</x:v>
      </x:c>
    </x:row>
    <x:row r="18" ht="24" customHeight="1">
      <x:c r="A18" s="108" t="s">
        <x:v>53</x:v>
      </x:c>
      <x:c r="B18" s="108" t="s">
        <x:v>57</x:v>
      </x:c>
      <x:c r="C18" s="108" t="s">
        <x:v>55</x:v>
      </x:c>
      <x:c r="D18" s="108" t="s">
        <x:v>32</x:v>
      </x:c>
      <x:c r="E18" s="108" t="s">
        <x:v>42</x:v>
      </x:c>
      <x:c r="F18" s="121">
        <x:v>400</x:v>
      </x:c>
      <x:c r="G18" s="121">
        <x:v>1619365</x:v>
      </x:c>
      <x:c r="H18" s="121">
        <x:v>167714</x:v>
      </x:c>
      <x:c r="I18" s="121">
        <x:v>67928</x:v>
      </x:c>
      <x:c r="J18" s="121">
        <x:v>167714</x:v>
      </x:c>
      <x:c r="K18" s="109">
        <x:v>5</x:v>
      </x:c>
      <x:c r="L18" s="109">
        <x:v>30</x:v>
      </x:c>
      <x:c r="M18" s="109">
        <x:f t="shared" si="0"/>
        <x:v>8.0968249999999991</x:v>
      </x:c>
      <x:c r="N18" s="109">
        <x:f t="shared" si="1"/>
        <x:v>5.0314199999999998</x:v>
      </x:c>
      <x:c r="O18" s="109">
        <x:f t="shared" si="2"/>
        <x:v>13.128245</x:v>
      </x:c>
      <x:c r="P18" s="110" t="s">
        <x:v>56</x:v>
      </x:c>
    </x:row>
    <x:row r="19" ht="14.25" customHeight="1">
      <x:c r="A19" s="111" t="s">
        <x:v>53</x:v>
      </x:c>
      <x:c r="B19" s="111" t="s">
        <x:v>58</x:v>
      </x:c>
      <x:c r="C19" s="111" t="s">
        <x:v>55</x:v>
      </x:c>
      <x:c r="D19" s="111" t="s">
        <x:v>34</x:v>
      </x:c>
      <x:c r="E19" s="111" t="s">
        <x:v>42</x:v>
      </x:c>
      <x:c r="F19" s="122">
        <x:v>400</x:v>
      </x:c>
      <x:c r="G19" s="122">
        <x:v>1619365</x:v>
      </x:c>
      <x:c r="H19" s="122">
        <x:v>334930</x:v>
      </x:c>
      <x:c r="I19" s="122">
        <x:v>230941</x:v>
      </x:c>
      <x:c r="J19" s="122">
        <x:v>334930</x:v>
      </x:c>
      <x:c r="K19" s="127">
        <x:v>5</x:v>
      </x:c>
      <x:c r="L19" s="127">
        <x:v>30</x:v>
      </x:c>
      <x:c r="M19" s="127" t="n">
        <x:f t="shared" ref="M19:M24" si="4">G19/1000000*K19</x:f>
        <x:v>8.096824999999999</x:v>
      </x:c>
      <x:c r="N19" s="127" t="n">
        <x:f t="shared" ref="N19:N24" si="5">J19/1000000*L19</x:f>
        <x:v>10.0479</x:v>
      </x:c>
      <x:c r="O19" s="127" t="n">
        <x:f t="shared" ref="O19:O24" si="6">M19+N19</x:f>
        <x:v>18.144725</x:v>
      </x:c>
      <x:c r="P19" s="111" t="s">
        <x:v>56</x:v>
      </x:c>
    </x:row>
    <x:row r="20" ht="14.25" customHeight="1">
      <x:c r="A20" s="112" t="s">
        <x:v>59</x:v>
      </x:c>
      <x:c r="B20" s="112" t="s">
        <x:v>60</x:v>
      </x:c>
      <x:c r="C20" s="112" t="s">
        <x:v>61</x:v>
      </x:c>
      <x:c r="D20" s="112" t="s">
        <x:v>28</x:v>
      </x:c>
      <x:c r="E20" s="112" t="s">
        <x:v>62</x:v>
      </x:c>
      <x:c r="F20" s="123">
        <x:v>400</x:v>
      </x:c>
      <x:c r="G20" s="123">
        <x:v>1598828</x:v>
      </x:c>
      <x:c r="H20" s="123">
        <x:v>94446</x:v>
      </x:c>
      <x:c r="I20" s="123">
        <x:v>0</x:v>
      </x:c>
      <x:c r="J20" s="123">
        <x:v>94446</x:v>
      </x:c>
      <x:c r="K20" s="128">
        <x:v>0.3</x:v>
      </x:c>
      <x:c r="L20" s="128">
        <x:v>2.5</x:v>
      </x:c>
      <x:c r="M20" s="128">
        <x:f t="shared" si="4"/>
        <x:v>0.47964839999999997</x:v>
      </x:c>
      <x:c r="N20" s="128">
        <x:f t="shared" si="5"/>
        <x:v>0.23611500000000002</x:v>
      </x:c>
      <x:c r="O20" s="128">
        <x:f t="shared" si="6"/>
        <x:v>0.71576339999999994</x:v>
      </x:c>
      <x:c r="P20" s="112" t="s">
        <x:v>63</x:v>
      </x:c>
    </x:row>
    <x:row r="21" ht="14.25" customHeight="1">
      <x:c r="A21" s="113" t="s">
        <x:v>64</x:v>
      </x:c>
      <x:c r="B21" s="113" t="s">
        <x:v>65</x:v>
      </x:c>
      <x:c r="C21" s="113" t="s">
        <x:v>66</x:v>
      </x:c>
      <x:c r="D21" s="113" t="s">
        <x:v>32</x:v>
      </x:c>
      <x:c r="E21" s="113" t="s">
        <x:v>62</x:v>
      </x:c>
      <x:c r="F21" s="124">
        <x:v>400</x:v>
      </x:c>
      <x:c r="G21" s="124">
        <x:v>1598828</x:v>
      </x:c>
      <x:c r="H21" s="124">
        <x:v>98371</x:v>
      </x:c>
      <x:c r="I21" s="124">
        <x:v>241</x:v>
      </x:c>
      <x:c r="J21" s="124">
        <x:v>98612</x:v>
      </x:c>
      <x:c r="K21" s="129">
        <x:v>2</x:v>
      </x:c>
      <x:c r="L21" s="129">
        <x:v>12</x:v>
      </x:c>
      <x:c r="M21" s="129">
        <x:f t="shared" si="4"/>
        <x:v>3.1976559999999998</x:v>
      </x:c>
      <x:c r="N21" s="129">
        <x:f t="shared" si="5"/>
        <x:v>1.183344</x:v>
      </x:c>
      <x:c r="O21" s="129">
        <x:f t="shared" si="6"/>
        <x:v>4.3810000000000002</x:v>
      </x:c>
      <x:c r="P21" s="113" t="s">
        <x:v>63</x:v>
      </x:c>
    </x:row>
    <x:row r="22" ht="14.25" customHeight="1">
      <x:c r="A22" s="113" t="s">
        <x:v>64</x:v>
      </x:c>
      <x:c r="B22" s="113" t="s">
        <x:v>67</x:v>
      </x:c>
      <x:c r="C22" s="113" t="s">
        <x:v>66</x:v>
      </x:c>
      <x:c r="D22" s="113" t="s">
        <x:v>34</x:v>
      </x:c>
      <x:c r="E22" s="113" t="s">
        <x:v>62</x:v>
      </x:c>
      <x:c r="F22" s="124">
        <x:v>400</x:v>
      </x:c>
      <x:c r="G22" s="124">
        <x:v>1598828</x:v>
      </x:c>
      <x:c r="H22" s="124">
        <x:v>112843</x:v>
      </x:c>
      <x:c r="I22" s="124">
        <x:v>714968</x:v>
      </x:c>
      <x:c r="J22" s="124">
        <x:v>827811</x:v>
      </x:c>
      <x:c r="K22" s="129">
        <x:v>2</x:v>
      </x:c>
      <x:c r="L22" s="129">
        <x:v>12</x:v>
      </x:c>
      <x:c r="M22" s="129">
        <x:f t="shared" si="4"/>
        <x:v>3.1976559999999998</x:v>
      </x:c>
      <x:c r="N22" s="129">
        <x:f t="shared" si="5"/>
        <x:v>9.9337319999999991</x:v>
      </x:c>
      <x:c r="O22" s="129">
        <x:f t="shared" si="6"/>
        <x:v>13.131387999999999</x:v>
      </x:c>
      <x:c r="P22" s="113" t="s">
        <x:v>63</x:v>
      </x:c>
    </x:row>
    <x:row r="23" ht="14.25" customHeight="1">
      <x:c r="A23" s="113" t="s">
        <x:v>68</x:v>
      </x:c>
      <x:c r="B23" s="113" t="s">
        <x:v>69</x:v>
      </x:c>
      <x:c r="C23" s="113" t="s">
        <x:v>70</x:v>
      </x:c>
      <x:c r="D23" s="113" t="s">
        <x:v>32</x:v>
      </x:c>
      <x:c r="E23" s="113" t="s">
        <x:v>62</x:v>
      </x:c>
      <x:c r="F23" s="124">
        <x:v>400</x:v>
      </x:c>
      <x:c r="G23" s="124">
        <x:v>1598828</x:v>
      </x:c>
      <x:c r="H23" s="124">
        <x:v>97282</x:v>
      </x:c>
      <x:c r="I23" s="124">
        <x:v>85356</x:v>
      </x:c>
      <x:c r="J23" s="124">
        <x:v>182638</x:v>
      </x:c>
      <x:c r="K23" s="129">
        <x:v>1.5</x:v>
      </x:c>
      <x:c r="L23" s="129">
        <x:v>7.5</x:v>
      </x:c>
      <x:c r="M23" s="129">
        <x:f t="shared" si="4"/>
        <x:v>2.3982419999999998</x:v>
      </x:c>
      <x:c r="N23" s="129">
        <x:f t="shared" si="5"/>
        <x:v>1.369785</x:v>
      </x:c>
      <x:c r="O23" s="129">
        <x:f t="shared" si="6"/>
        <x:v>3.768027</x:v>
      </x:c>
      <x:c r="P23" s="113" t="s">
        <x:v>63</x:v>
      </x:c>
    </x:row>
    <x:row r="24" ht="14.25" customHeight="1">
      <x:c r="A24" s="114" t="s">
        <x:v>68</x:v>
      </x:c>
      <x:c r="B24" s="114" t="s">
        <x:v>71</x:v>
      </x:c>
      <x:c r="C24" s="114" t="s">
        <x:v>70</x:v>
      </x:c>
      <x:c r="D24" s="114" t="s">
        <x:v>34</x:v>
      </x:c>
      <x:c r="E24" s="114" t="s">
        <x:v>62</x:v>
      </x:c>
      <x:c r="F24" s="125">
        <x:v>400</x:v>
      </x:c>
      <x:c r="G24" s="125">
        <x:v>1598828</x:v>
      </x:c>
      <x:c r="H24" s="125">
        <x:v>94335</x:v>
      </x:c>
      <x:c r="I24" s="125">
        <x:v>1396283</x:v>
      </x:c>
      <x:c r="J24" s="125">
        <x:v>1490618</x:v>
      </x:c>
      <x:c r="K24" s="130">
        <x:v>1.5</x:v>
      </x:c>
      <x:c r="L24" s="130">
        <x:v>7.5</x:v>
      </x:c>
      <x:c r="M24" s="130">
        <x:f t="shared" si="4"/>
        <x:v>2.3982419999999998</x:v>
      </x:c>
      <x:c r="N24" s="130">
        <x:f t="shared" si="5"/>
        <x:v>11.179634999999999</x:v>
      </x:c>
      <x:c r="O24" s="130">
        <x:f t="shared" si="6"/>
        <x:v>13.577876999999999</x:v>
      </x:c>
      <x:c r="P24" s="114" t="s">
        <x:v>63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a72b0de07721458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2" customWidth="1"/>
    <x:col min="2" max="2" width="24" customWidth="1"/>
    <x:col min="3" max="3" width="25" customWidth="1"/>
    <x:col min="4" max="4" width="20" customWidth="1"/>
    <x:col min="5" max="10" width="12" customWidth="1"/>
    <x:col min="11" max="11" width="27" customWidth="1"/>
    <x:col min="12" max="15" width="13" customWidth="1"/>
  </x:cols>
  <x:sheetData>
    <x:row r="1" ht="16.700000762939453" customHeight="1">
      <x:c r="A1" s="181" t="s">
        <x:v>72</x:v>
      </x:c>
      <x:c r="B1" s="181"/>
      <x:c r="C1" s="181"/>
      <x:c r="D1" s="181"/>
      <x:c r="E1" s="181"/>
      <x:c r="F1" s="181"/>
      <x:c r="G1" s="181"/>
      <x:c r="H1" s="181"/>
      <x:c r="I1" s="181"/>
      <x:c r="J1" s="181"/>
      <x:c r="K1" s="181"/>
      <x:c r="L1" s="181"/>
      <x:c r="M1" s="181"/>
      <x:c r="N1" s="181"/>
      <x:c r="O1" s="183"/>
    </x:row>
    <x:row r="2" ht="14.25" customHeight="1">
      <x:c r="A2" s="182" t="s">
        <x:v>73</x:v>
      </x:c>
      <x:c r="B2" s="182"/>
      <x:c r="C2" s="182"/>
      <x:c r="D2" s="182"/>
      <x:c r="E2" s="182"/>
      <x:c r="F2" s="182"/>
      <x:c r="G2" s="182"/>
      <x:c r="H2" s="182"/>
      <x:c r="I2" s="182"/>
      <x:c r="J2" s="182"/>
      <x:c r="K2" s="182"/>
      <x:c r="L2" s="182"/>
      <x:c r="M2" s="182"/>
      <x:c r="N2" s="182"/>
      <x:c r="O2" s="183"/>
    </x:row>
    <x:row r="3" ht="14.25" customHeight="1"/>
    <x:row r="4" ht="24" customHeight="1">
      <x:c r="A4" s="1" t="s">
        <x:v>3</x:v>
      </x:c>
      <x:c r="B4" s="2" t="s">
        <x:v>74</x:v>
      </x:c>
      <x:c r="C4" s="2" t="s">
        <x:v>75</x:v>
      </x:c>
      <x:c r="D4" s="2" t="s">
        <x:v>6</x:v>
      </x:c>
      <x:c r="E4" s="2" t="s">
        <x:v>76</x:v>
      </x:c>
      <x:c r="F4" s="2" t="s">
        <x:v>77</x:v>
      </x:c>
      <x:c r="G4" s="2" t="s">
        <x:v>78</x:v>
      </x:c>
      <x:c r="H4" s="2" t="s">
        <x:v>79</x:v>
      </x:c>
      <x:c r="I4" s="2" t="s">
        <x:v>80</x:v>
      </x:c>
      <x:c r="J4" s="2" t="s">
        <x:v>81</x:v>
      </x:c>
      <x:c r="K4" s="2" t="s">
        <x:v>82</x:v>
      </x:c>
      <x:c r="L4" s="2" t="s">
        <x:v>83</x:v>
      </x:c>
      <x:c r="M4" s="2" t="s">
        <x:v>84</x:v>
      </x:c>
      <x:c r="N4" s="3" t="s">
        <x:v>85</x:v>
      </x:c>
      <x:c r="O4" s="2" t="s">
        <x:v>86</x:v>
      </x:c>
    </x:row>
    <x:row r="5" ht="14.25" customHeight="1">
      <x:c r="A5" s="19"/>
      <x:c r="B5" s="19" t="s">
        <x:v>20</x:v>
      </x:c>
      <x:c r="C5" s="19" t="s">
        <x:v>87</x:v>
      </x:c>
      <x:c r="D5" s="19" t="s">
        <x:v>21</x:v>
      </x:c>
      <x:c r="E5" s="187" t="n">
        <x:v>80.3125</x:v>
      </x:c>
      <x:c r="F5" s="187" t="n">
        <x:v>84.8185</x:v>
      </x:c>
      <x:c r="G5" s="187" t="n">
        <x:v>73.8836</x:v>
      </x:c>
      <x:c r="H5" s="187" t="n">
        <x:v>76.9014</x:v>
      </x:c>
      <x:c r="I5" s="187" t="n">
        <x:v>97.5741</x:v>
      </x:c>
      <x:c r="J5" s="187" t="n">
        <x:v>94.7644</x:v>
      </x:c>
      <x:c r="K5" s="21" t="str">
        <x:v>37.8092 (32.3584–43.5865)</x:v>
      </x:c>
      <x:c r="L5" s="22" t="s">
        <x:v>23</x:v>
      </x:c>
      <x:c r="M5" s="22" t="s">
        <x:v>23</x:v>
      </x:c>
      <x:c r="N5" s="22" t="s">
        <x:v>23</x:v>
      </x:c>
      <x:c r="O5" s="21" t="s">
        <x:v>88</x:v>
      </x:c>
    </x:row>
    <x:row r="6" ht="14.25" customHeight="1">
      <x:c r="A6" s="23" t="s">
        <x:v>25</x:v>
      </x:c>
      <x:c r="B6" s="23" t="s">
        <x:v>27</x:v>
      </x:c>
      <x:c r="C6" s="23" t="s">
        <x:v>89</x:v>
      </x:c>
      <x:c r="D6" s="23" t="s">
        <x:v>28</x:v>
      </x:c>
      <x:c r="E6" s="188" t="n">
        <x:v>93.8144</x:v>
      </x:c>
      <x:c r="F6" s="188" t="n">
        <x:v>90.099</x:v>
      </x:c>
      <x:c r="G6" s="188" t="n">
        <x:v>96.0754</x:v>
      </x:c>
      <x:c r="H6" s="188" t="n">
        <x:v>86.5629</x:v>
      </x:c>
      <x:c r="I6" s="188" t="n">
        <x:v>98.3425</x:v>
      </x:c>
      <x:c r="J6" s="188" t="n">
        <x:v>93.1937</x:v>
      </x:c>
      <x:c r="K6" s="25" t="str">
        <x:v>72.7915 (67.3271–77.6455)</x:v>
      </x:c>
      <x:c r="L6" s="26" t="s">
        <x:v>23</x:v>
      </x:c>
      <x:c r="M6" s="26" t="s">
        <x:v>23</x:v>
      </x:c>
      <x:c r="N6" s="26" t="s">
        <x:v>23</x:v>
      </x:c>
      <x:c r="O6" s="25" t="s">
        <x:v>90</x:v>
      </x:c>
    </x:row>
    <x:row r="7" ht="14.25" customHeight="1">
      <x:c r="A7" s="23" t="s">
        <x:v>25</x:v>
      </x:c>
      <x:c r="B7" s="23" t="s">
        <x:v>27</x:v>
      </x:c>
      <x:c r="C7" s="23" t="s">
        <x:v>89</x:v>
      </x:c>
      <x:c r="D7" s="23" t="s">
        <x:v>32</x:v>
      </x:c>
      <x:c r="E7" s="188" t="n">
        <x:v>94.1901</x:v>
      </x:c>
      <x:c r="F7" s="188" t="n">
        <x:v>88.2838</x:v>
      </x:c>
      <x:c r="G7" s="188" t="n">
        <x:v>97.44</x:v>
      </x:c>
      <x:c r="H7" s="188" t="n">
        <x:v>86.1386</x:v>
      </x:c>
      <x:c r="I7" s="188" t="n">
        <x:v>98.5955</x:v>
      </x:c>
      <x:c r="J7" s="188" t="n">
        <x:v>91.8848</x:v>
      </x:c>
      <x:c r="K7" s="25" t="str">
        <x:v>73.8516 (68.4367–78.6276)</x:v>
      </x:c>
      <x:c r="L7" s="26" t="s">
        <x:v>23</x:v>
      </x:c>
      <x:c r="M7" s="26" t="s">
        <x:v>23</x:v>
      </x:c>
      <x:c r="N7" s="26" t="s">
        <x:v>23</x:v>
      </x:c>
      <x:c r="O7" s="25" t="s">
        <x:v>91</x:v>
      </x:c>
    </x:row>
    <x:row r="8" ht="14.25" customHeight="1">
      <x:c r="A8" s="23" t="s">
        <x:v>25</x:v>
      </x:c>
      <x:c r="B8" s="23" t="s">
        <x:v>27</x:v>
      </x:c>
      <x:c r="C8" s="23" t="s">
        <x:v>89</x:v>
      </x:c>
      <x:c r="D8" s="23" t="s">
        <x:v>34</x:v>
      </x:c>
      <x:c r="E8" s="188" t="n">
        <x:v>95.5963</x:v>
      </x:c>
      <x:c r="F8" s="188" t="n">
        <x:v>85.9736</x:v>
      </x:c>
      <x:c r="G8" s="188" t="n">
        <x:v>96.8333</x:v>
      </x:c>
      <x:c r="H8" s="188" t="n">
        <x:v>82.2946</x:v>
      </x:c>
      <x:c r="I8" s="188" t="n">
        <x:v>99.1202</x:v>
      </x:c>
      <x:c r="J8" s="188" t="n">
        <x:v>88.4817</x:v>
      </x:c>
      <x:c r="K8" s="25" t="str">
        <x:v>70.6714 (65.1187–75.6704)</x:v>
      </x:c>
      <x:c r="L8" s="26" t="s">
        <x:v>23</x:v>
      </x:c>
      <x:c r="M8" s="26" t="s">
        <x:v>23</x:v>
      </x:c>
      <x:c r="N8" s="26" t="s">
        <x:v>23</x:v>
      </x:c>
      <x:c r="O8" s="25" t="s">
        <x:v>92</x:v>
      </x:c>
    </x:row>
    <x:row r="9" ht="14.25" customHeight="1">
      <x:c r="A9" s="27" t="s">
        <x:v>25</x:v>
      </x:c>
      <x:c r="B9" s="27" t="s">
        <x:v>36</x:v>
      </x:c>
      <x:c r="C9" s="27" t="s">
        <x:v>93</x:v>
      </x:c>
      <x:c r="D9" s="27" t="s">
        <x:v>28</x:v>
      </x:c>
      <x:c r="E9" s="189" t="n">
        <x:v>95.8707</x:v>
      </x:c>
      <x:c r="F9" s="189" t="n">
        <x:v>88.1188</x:v>
      </x:c>
      <x:c r="G9" s="189" t="n">
        <x:v>97.3228</x:v>
      </x:c>
      <x:c r="H9" s="189" t="n">
        <x:v>87.4116</x:v>
      </x:c>
      <x:c r="I9" s="189" t="n">
        <x:v>98.8539</x:v>
      </x:c>
      <x:c r="J9" s="189" t="n">
        <x:v>90.3141</x:v>
      </x:c>
      <x:c r="K9" s="29" t="str">
        <x:v>76.3251 (71.0406–80.9045)</x:v>
      </x:c>
      <x:c r="L9" s="30" t="s">
        <x:v>23</x:v>
      </x:c>
      <x:c r="M9" s="30" t="s">
        <x:v>23</x:v>
      </x:c>
      <x:c r="N9" s="30" t="s">
        <x:v>23</x:v>
      </x:c>
      <x:c r="O9" s="29" t="s">
        <x:v>94</x:v>
      </x:c>
    </x:row>
    <x:row r="10" ht="14.25" customHeight="1">
      <x:c r="A10" s="27" t="s">
        <x:v>25</x:v>
      </x:c>
      <x:c r="B10" s="27" t="s">
        <x:v>36</x:v>
      </x:c>
      <x:c r="C10" s="27" t="s">
        <x:v>93</x:v>
      </x:c>
      <x:c r="D10" s="27" t="s">
        <x:v>32</x:v>
      </x:c>
      <x:c r="E10" s="189" t="n">
        <x:v>95.6063</x:v>
      </x:c>
      <x:c r="F10" s="189" t="n">
        <x:v>89.769</x:v>
      </x:c>
      <x:c r="G10" s="189" t="n">
        <x:v>97.0543</x:v>
      </x:c>
      <x:c r="H10" s="189" t="n">
        <x:v>88.5431</x:v>
      </x:c>
      <x:c r="I10" s="189" t="n">
        <x:v>98.8764</x:v>
      </x:c>
      <x:c r="J10" s="189" t="n">
        <x:v>92.1466</x:v>
      </x:c>
      <x:c r="K10" s="29" t="str">
        <x:v>77.3852 (72.1633–81.8735)</x:v>
      </x:c>
      <x:c r="L10" s="30" t="s">
        <x:v>23</x:v>
      </x:c>
      <x:c r="M10" s="30" t="s">
        <x:v>23</x:v>
      </x:c>
      <x:c r="N10" s="30" t="s">
        <x:v>23</x:v>
      </x:c>
      <x:c r="O10" s="29" t="s">
        <x:v>95</x:v>
      </x:c>
    </x:row>
    <x:row r="11" ht="14.25" customHeight="1">
      <x:c r="A11" s="27" t="s">
        <x:v>25</x:v>
      </x:c>
      <x:c r="B11" s="27" t="s">
        <x:v>36</x:v>
      </x:c>
      <x:c r="C11" s="27" t="s">
        <x:v>93</x:v>
      </x:c>
      <x:c r="D11" s="27" t="s">
        <x:v>34</x:v>
      </x:c>
      <x:c r="E11" s="189" t="n">
        <x:v>96.1131</x:v>
      </x:c>
      <x:c r="F11" s="189" t="n">
        <x:v>89.769</x:v>
      </x:c>
      <x:c r="G11" s="189" t="n">
        <x:v>96.904</x:v>
      </x:c>
      <x:c r="H11" s="189" t="n">
        <x:v>88.4181</x:v>
      </x:c>
      <x:c r="I11" s="189" t="n">
        <x:v>99.435</x:v>
      </x:c>
      <x:c r="J11" s="189" t="n">
        <x:v>92.1466</x:v>
      </x:c>
      <x:c r="K11" s="57" t="str">
        <x:v>77.7385 (72.5385–82.1955)</x:v>
      </x:c>
      <x:c r="L11" s="58" t="s">
        <x:v>23</x:v>
      </x:c>
      <x:c r="M11" s="58" t="s">
        <x:v>23</x:v>
      </x:c>
      <x:c r="N11" s="58" t="s">
        <x:v>23</x:v>
      </x:c>
      <x:c r="O11" s="57" t="s">
        <x:v>96</x:v>
      </x:c>
    </x:row>
    <x:row r="12" ht="14.25" customHeight="1">
      <x:c r="A12" s="31" t="s">
        <x:v>39</x:v>
      </x:c>
      <x:c r="B12" s="31" t="s">
        <x:v>41</x:v>
      </x:c>
      <x:c r="C12" s="31" t="s">
        <x:v>97</x:v>
      </x:c>
      <x:c r="D12" s="31" t="s">
        <x:v>28</x:v>
      </x:c>
      <x:c r="E12" s="190" t="n">
        <x:v>95.4466</x:v>
      </x:c>
      <x:c r="F12" s="190" t="n">
        <x:v>89.934</x:v>
      </x:c>
      <x:c r="G12" s="190" t="n">
        <x:v>96.0568</x:v>
      </x:c>
      <x:c r="H12" s="190" t="n">
        <x:v>86.2606</x:v>
      </x:c>
      <x:c r="I12" s="190" t="n">
        <x:v>99.1597</x:v>
      </x:c>
      <x:c r="J12" s="190" t="n">
        <x:v>92.6702</x:v>
      </x:c>
      <x:c r="K12" s="33" t="str">
        <x:v>68.5512 (62.9238–73.6818)</x:v>
      </x:c>
      <x:c r="L12" s="34" t="n">
        <x:f>'Cost inputs'!M12</x:f>
        <x:v>0.647746</x:v>
      </x:c>
      <x:c r="M12" s="34" t="n">
        <x:f>'Cost inputs'!N12</x:f>
        <x:v>0.1619632</x:v>
      </x:c>
      <x:c r="N12" s="34" t="n">
        <x:f>'Cost inputs'!O12</x:f>
        <x:v>0.8097092</x:v>
      </x:c>
      <x:c r="O12" s="33" t="s">
        <x:v>98</x:v>
      </x:c>
    </x:row>
    <x:row r="13" ht="24" customHeight="1">
      <x:c r="A13" s="31" t="s">
        <x:v>39</x:v>
      </x:c>
      <x:c r="B13" s="31" t="s">
        <x:v>45</x:v>
      </x:c>
      <x:c r="C13" s="31" t="s">
        <x:v>99</x:v>
      </x:c>
      <x:c r="D13" s="31" t="s">
        <x:v>28</x:v>
      </x:c>
      <x:c r="E13" s="190" t="n">
        <x:v>95.8124</x:v>
      </x:c>
      <x:c r="F13" s="190" t="n">
        <x:v>94.3894</x:v>
      </x:c>
      <x:c r="G13" s="190" t="n">
        <x:v>97.2973</x:v>
      </x:c>
      <x:c r="H13" s="190" t="n">
        <x:v>91.6549</x:v>
      </x:c>
      <x:c r="I13" s="190" t="n">
        <x:v>98.6667</x:v>
      </x:c>
      <x:c r="J13" s="190" t="n">
        <x:v>96.8586</x:v>
      </x:c>
      <x:c r="K13" s="33" t="str">
        <x:v>82.3322 (77.4643–86.3341)</x:v>
      </x:c>
      <x:c r="L13" s="34" t="n">
        <x:f>'Cost inputs'!M13</x:f>
        <x:v>1.295492</x:v>
      </x:c>
      <x:c r="M13" s="34" t="n">
        <x:f>'Cost inputs'!N13</x:f>
        <x:v>0.42016640000000005</x:v>
      </x:c>
      <x:c r="N13" s="34" t="n">
        <x:f>'Cost inputs'!O13</x:f>
        <x:v>1.7156584000000001</x:v>
      </x:c>
      <x:c r="O13" s="33" t="s">
        <x:v>100</x:v>
      </x:c>
    </x:row>
    <x:row r="14" ht="14.25" customHeight="1">
      <x:c r="A14" s="35" t="s">
        <x:v>47</x:v>
      </x:c>
      <x:c r="B14" s="59" t="s">
        <x:v>49</x:v>
      </x:c>
      <x:c r="C14" s="35" t="s">
        <x:v>101</x:v>
      </x:c>
      <x:c r="D14" s="35" t="s">
        <x:v>28</x:v>
      </x:c>
      <x:c r="E14" s="191" t="n">
        <x:v>97.193</x:v>
      </x:c>
      <x:c r="F14" s="191" t="n">
        <x:v>91.4191</x:v>
      </x:c>
      <x:c r="G14" s="191" t="n">
        <x:v>98.7539</x:v>
      </x:c>
      <x:c r="H14" s="191" t="n">
        <x:v>89.9291</x:v>
      </x:c>
      <x:c r="I14" s="191" t="n">
        <x:v>99.1713</x:v>
      </x:c>
      <x:c r="J14" s="191" t="n">
        <x:v>93.9791</x:v>
      </x:c>
      <x:c r="K14" s="60" t="str">
        <x:v>81.9788 (77.0819–86.0192)</x:v>
      </x:c>
      <x:c r="L14" s="61" t="n">
        <x:f>'Cost inputs'!M14</x:f>
        <x:v>4.0484124999999995</x:v>
      </x:c>
      <x:c r="M14" s="61" t="n">
        <x:f>'Cost inputs'!N14</x:f>
        <x:v>1.519665</x:v>
      </x:c>
      <x:c r="N14" s="61" t="n">
        <x:f>'Cost inputs'!O14</x:f>
        <x:v>5.568077499999999</x:v>
      </x:c>
      <x:c r="O14" s="37" t="s">
        <x:v>102</x:v>
      </x:c>
    </x:row>
    <x:row r="15" ht="14.25" customHeight="1">
      <x:c r="A15" s="35" t="s">
        <x:v>47</x:v>
      </x:c>
      <x:c r="B15" s="35" t="s">
        <x:v>49</x:v>
      </x:c>
      <x:c r="C15" s="35" t="s">
        <x:v>101</x:v>
      </x:c>
      <x:c r="D15" s="35" t="s">
        <x:v>32</x:v>
      </x:c>
      <x:c r="E15" s="191" t="n">
        <x:v>97.0123</x:v>
      </x:c>
      <x:c r="F15" s="191" t="n">
        <x:v>91.0891</x:v>
      </x:c>
      <x:c r="G15" s="191" t="n">
        <x:v>98.7673</x:v>
      </x:c>
      <x:c r="H15" s="191" t="n">
        <x:v>90.7932</x:v>
      </x:c>
      <x:c r="I15" s="191" t="n">
        <x:v>98.8889</x:v>
      </x:c>
      <x:c r="J15" s="191" t="n">
        <x:v>93.1937</x:v>
      </x:c>
      <x:c r="K15" s="37" t="str">
        <x:v>83.7456 (79.0001–87.5872)</x:v>
      </x:c>
      <x:c r="L15" s="38" t="n">
        <x:f>'Cost inputs'!M15</x:f>
        <x:v>4.0484124999999995</x:v>
      </x:c>
      <x:c r="M15" s="38" t="n">
        <x:f>'Cost inputs'!N15</x:f>
        <x:v>2.36679</x:v>
      </x:c>
      <x:c r="N15" s="38" t="n">
        <x:f>'Cost inputs'!O15</x:f>
        <x:v>6.4152024999999995</x:v>
      </x:c>
      <x:c r="O15" s="37" t="s">
        <x:v>103</x:v>
      </x:c>
    </x:row>
    <x:row r="16" ht="14.25" customHeight="1">
      <x:c r="A16" s="35" t="s">
        <x:v>47</x:v>
      </x:c>
      <x:c r="B16" s="35" t="s">
        <x:v>49</x:v>
      </x:c>
      <x:c r="C16" s="35" t="s">
        <x:v>101</x:v>
      </x:c>
      <x:c r="D16" s="35" t="s">
        <x:v>34</x:v>
      </x:c>
      <x:c r="E16" s="191" t="n">
        <x:v>98.3333</x:v>
      </x:c>
      <x:c r="F16" s="191" t="n">
        <x:v>87.0492</x:v>
      </x:c>
      <x:c r="G16" s="191" t="n">
        <x:v>99.5161</x:v>
      </x:c>
      <x:c r="H16" s="191" t="n">
        <x:v>87.5177</x:v>
      </x:c>
      <x:c r="I16" s="191" t="n">
        <x:v>99.7059</x:v>
      </x:c>
      <x:c r="J16" s="191" t="n">
        <x:v>88.0519</x:v>
      </x:c>
      <x:c r="K16" s="37" t="str">
        <x:v>83.7456 (79.0001–87.5872)</x:v>
      </x:c>
      <x:c r="L16" s="38" t="n">
        <x:f>'Cost inputs'!M16</x:f>
        <x:v>4.0484124999999995</x:v>
      </x:c>
      <x:c r="M16" s="38" t="n">
        <x:f>'Cost inputs'!N16</x:f>
        <x:v>19.1466</x:v>
      </x:c>
      <x:c r="N16" s="38" t="n">
        <x:f>'Cost inputs'!O16</x:f>
        <x:v>23.195012499999997</x:v>
      </x:c>
      <x:c r="O16" s="37" t="s">
        <x:v>103</x:v>
      </x:c>
    </x:row>
    <x:row r="17" ht="14.25" customHeight="1">
      <x:c r="A17" s="39" t="s">
        <x:v>53</x:v>
      </x:c>
      <x:c r="B17" s="39" t="s">
        <x:v>55</x:v>
      </x:c>
      <x:c r="C17" s="39" t="s">
        <x:v>104</x:v>
      </x:c>
      <x:c r="D17" s="39" t="s">
        <x:v>28</x:v>
      </x:c>
      <x:c r="E17" s="192" t="n">
        <x:v>96.5779</x:v>
      </x:c>
      <x:c r="F17" s="192" t="n">
        <x:v>83.8284</x:v>
      </x:c>
      <x:c r="G17" s="192" t="n">
        <x:v>97.3333</x:v>
      </x:c>
      <x:c r="H17" s="192" t="n">
        <x:v>82.8369</x:v>
      </x:c>
      <x:c r="I17" s="192" t="n">
        <x:v>98.8024</x:v>
      </x:c>
      <x:c r="J17" s="192" t="n">
        <x:v>86.3874</x:v>
      </x:c>
      <x:c r="K17" s="41" t="str">
        <x:v>77.3852 (72.1633–81.8735)</x:v>
      </x:c>
      <x:c r="L17" s="42" t="n">
        <x:f>'Cost inputs'!M17</x:f>
        <x:v>8.096824999999999</x:v>
      </x:c>
      <x:c r="M17" s="42" t="n">
        <x:f>'Cost inputs'!N17</x:f>
        <x:v>2.92569</x:v>
      </x:c>
      <x:c r="N17" s="42" t="n">
        <x:f>'Cost inputs'!O17</x:f>
        <x:v>11.022514999999999</x:v>
      </x:c>
      <x:c r="O17" s="41" t="s">
        <x:v>95</x:v>
      </x:c>
    </x:row>
    <x:row r="18" ht="14.25" customHeight="1">
      <x:c r="A18" s="43" t="s">
        <x:v>53</x:v>
      </x:c>
      <x:c r="B18" s="62" t="s">
        <x:v>55</x:v>
      </x:c>
      <x:c r="C18" s="43" t="s">
        <x:v>104</x:v>
      </x:c>
      <x:c r="D18" s="43" t="s">
        <x:v>32</x:v>
      </x:c>
      <x:c r="E18" s="193" t="n">
        <x:v>96.2617</x:v>
      </x:c>
      <x:c r="F18" s="193" t="n">
        <x:v>84.4262</x:v>
      </x:c>
      <x:c r="G18" s="193" t="n">
        <x:v>98.1324</x:v>
      </x:c>
      <x:c r="H18" s="193" t="n">
        <x:v>82.1023</x:v>
      </x:c>
      <x:c r="I18" s="193" t="n">
        <x:v>99.1124</x:v>
      </x:c>
      <x:c r="J18" s="193" t="n">
        <x:v>87.013</x:v>
      </x:c>
      <x:c r="K18" s="63" t="str">
        <x:v>78.7986 (73.6671–83.1587)</x:v>
      </x:c>
      <x:c r="L18" s="64" t="n">
        <x:f>'Cost inputs'!M18</x:f>
        <x:v>8.096824999999999</x:v>
      </x:c>
      <x:c r="M18" s="64" t="n">
        <x:f>'Cost inputs'!N18</x:f>
        <x:v>5.03142</x:v>
      </x:c>
      <x:c r="N18" s="64" t="n">
        <x:f>'Cost inputs'!O18</x:f>
        <x:v>13.128245</x:v>
      </x:c>
      <x:c r="O18" s="45" t="s">
        <x:v>105</x:v>
      </x:c>
    </x:row>
    <x:row r="19" ht="14.25" customHeight="1">
      <x:c r="A19" s="47" t="s">
        <x:v>53</x:v>
      </x:c>
      <x:c r="B19" s="47" t="s">
        <x:v>55</x:v>
      </x:c>
      <x:c r="C19" s="47" t="s">
        <x:v>104</x:v>
      </x:c>
      <x:c r="D19" s="47" t="s">
        <x:v>34</x:v>
      </x:c>
      <x:c r="E19" s="194" t="n">
        <x:v>97.271</x:v>
      </x:c>
      <x:c r="F19" s="194" t="n">
        <x:v>81.8033</x:v>
      </x:c>
      <x:c r="G19" s="194" t="n">
        <x:v>98.227</x:v>
      </x:c>
      <x:c r="H19" s="194" t="n">
        <x:v>78.6932</x:v>
      </x:c>
      <x:c r="I19" s="194" t="n">
        <x:v>99.6933</x:v>
      </x:c>
      <x:c r="J19" s="194" t="n">
        <x:v>84.4156</x:v>
      </x:c>
      <x:c r="K19" s="47" t="str">
        <x:v>75.9717 (70.6673–80.5805)</x:v>
      </x:c>
      <x:c r="L19" s="54" t="n">
        <x:f>'Cost inputs'!M19</x:f>
        <x:v>8.096824999999999</x:v>
      </x:c>
      <x:c r="M19" s="54" t="n">
        <x:f>'Cost inputs'!N19</x:f>
        <x:v>10.0479</x:v>
      </x:c>
      <x:c r="N19" s="54" t="n">
        <x:f>'Cost inputs'!O19</x:f>
        <x:v>18.144725</x:v>
      </x:c>
      <x:c r="O19" s="48" t="s">
        <x:v>106</x:v>
      </x:c>
    </x:row>
    <x:row r="20" ht="14.25" customHeight="1">
      <x:c r="A20" s="65" t="s">
        <x:v>59</x:v>
      </x:c>
      <x:c r="B20" s="65" t="s">
        <x:v>107</x:v>
      </x:c>
      <x:c r="C20" s="65" t="s">
        <x:v>108</x:v>
      </x:c>
      <x:c r="D20" s="65" t="s">
        <x:v>28</x:v>
      </x:c>
      <x:c r="E20" s="195" t="n">
        <x:v>96.4476</x:v>
      </x:c>
      <x:c r="F20" s="195" t="n">
        <x:v>89.0164</x:v>
      </x:c>
      <x:c r="G20" s="195" t="n">
        <x:v>98.4227</x:v>
      </x:c>
      <x:c r="H20" s="195" t="n">
        <x:v>88.5106</x:v>
      </x:c>
      <x:c r="I20" s="195" t="n">
        <x:v>98.8764</x:v>
      </x:c>
      <x:c r="J20" s="195" t="n">
        <x:v>91.4286</x:v>
      </x:c>
      <x:c r="K20" s="65" t="str">
        <x:v>80.2120 (75.1792–84.4356)</x:v>
      </x:c>
      <x:c r="L20" s="67" t="n">
        <x:f>'Cost inputs'!M20</x:f>
        <x:v>0.4796484</x:v>
      </x:c>
      <x:c r="M20" s="67" t="n">
        <x:f>'Cost inputs'!N20</x:f>
        <x:v>0.23611500000000002</x:v>
      </x:c>
      <x:c r="N20" s="67" t="n">
        <x:f>'Cost inputs'!O20</x:f>
        <x:v>0.7157633999999999</x:v>
      </x:c>
      <x:c r="O20" s="68" t="s">
        <x:v>109</x:v>
      </x:c>
    </x:row>
    <x:row r="21" ht="14.25" customHeight="1">
      <x:c r="A21" s="49" t="s">
        <x:v>64</x:v>
      </x:c>
      <x:c r="B21" s="49" t="s">
        <x:v>66</x:v>
      </x:c>
      <x:c r="C21" s="49" t="s">
        <x:v>110</x:v>
      </x:c>
      <x:c r="D21" s="49" t="s">
        <x:v>32</x:v>
      </x:c>
      <x:c r="E21" s="196" t="n">
        <x:v>96.7568</x:v>
      </x:c>
      <x:c r="F21" s="196" t="n">
        <x:v>88.0328</x:v>
      </x:c>
      <x:c r="G21" s="196" t="n">
        <x:v>98.8836</x:v>
      </x:c>
      <x:c r="H21" s="196" t="n">
        <x:v>87.6945</x:v>
      </x:c>
      <x:c r="I21" s="196" t="n">
        <x:v>99.4302</x:v>
      </x:c>
      <x:c r="J21" s="196" t="n">
        <x:v>90.6494</x:v>
      </x:c>
      <x:c r="K21" s="49" t="str">
        <x:v>80.2120 (75.1792–84.4356)</x:v>
      </x:c>
      <x:c r="L21" s="55" t="n">
        <x:f>'Cost inputs'!M21</x:f>
        <x:v>3.197656</x:v>
      </x:c>
      <x:c r="M21" s="55" t="n">
        <x:f>'Cost inputs'!N21</x:f>
        <x:v>1.183344</x:v>
      </x:c>
      <x:c r="N21" s="55" t="n">
        <x:f>'Cost inputs'!O21</x:f>
        <x:v>4.381</x:v>
      </x:c>
      <x:c r="O21" s="49" t="s">
        <x:v>109</x:v>
      </x:c>
    </x:row>
    <x:row r="22" ht="14.25" customHeight="1">
      <x:c r="A22" s="49" t="s">
        <x:v>64</x:v>
      </x:c>
      <x:c r="B22" s="49" t="s">
        <x:v>66</x:v>
      </x:c>
      <x:c r="C22" s="49" t="s">
        <x:v>110</x:v>
      </x:c>
      <x:c r="D22" s="49" t="s">
        <x:v>34</x:v>
      </x:c>
      <x:c r="E22" s="196" t="n">
        <x:v>96.5217</x:v>
      </x:c>
      <x:c r="F22" s="196" t="n">
        <x:v>91.5842</x:v>
      </x:c>
      <x:c r="G22" s="196" t="n">
        <x:v>98.3025</x:v>
      </x:c>
      <x:c r="H22" s="196" t="n">
        <x:v>90.099</x:v>
      </x:c>
      <x:c r="I22" s="196" t="n">
        <x:v>99.723</x:v>
      </x:c>
      <x:c r="J22" s="196" t="n">
        <x:v>94.2408</x:v>
      </x:c>
      <x:c r="K22" s="49" t="str">
        <x:v>84.4523 (79.7722–88.2096)</x:v>
      </x:c>
      <x:c r="L22" s="55" t="n">
        <x:f>'Cost inputs'!M22</x:f>
        <x:v>3.197656</x:v>
      </x:c>
      <x:c r="M22" s="55" t="n">
        <x:f>'Cost inputs'!N22</x:f>
        <x:v>9.933732</x:v>
      </x:c>
      <x:c r="N22" s="55" t="n">
        <x:f>'Cost inputs'!O22</x:f>
        <x:v>13.131388</x:v>
      </x:c>
      <x:c r="O22" s="49" t="s">
        <x:v>111</x:v>
      </x:c>
    </x:row>
    <x:row r="23" ht="14.25" customHeight="1">
      <x:c r="A23" s="49" t="s">
        <x:v>68</x:v>
      </x:c>
      <x:c r="B23" s="49" t="s">
        <x:v>70</x:v>
      </x:c>
      <x:c r="C23" s="49" t="s">
        <x:v>108</x:v>
      </x:c>
      <x:c r="D23" s="49" t="s">
        <x:v>32</x:v>
      </x:c>
      <x:c r="E23" s="196" t="n">
        <x:v>97.0175</x:v>
      </x:c>
      <x:c r="F23" s="196" t="n">
        <x:v>91.2541</x:v>
      </x:c>
      <x:c r="G23" s="196" t="n">
        <x:v>99.0551</x:v>
      </x:c>
      <x:c r="H23" s="196" t="n">
        <x:v>88.9675</x:v>
      </x:c>
      <x:c r="I23" s="196" t="n">
        <x:v>99.4444</x:v>
      </x:c>
      <x:c r="J23" s="196" t="n">
        <x:v>93.7173</x:v>
      </x:c>
      <x:c r="K23" s="49" t="str">
        <x:v>84.4523 (79.7722–88.2096)</x:v>
      </x:c>
      <x:c r="L23" s="55" t="n">
        <x:f>'Cost inputs'!M23</x:f>
        <x:v>2.3982419999999998</x:v>
      </x:c>
      <x:c r="M23" s="55" t="n">
        <x:f>'Cost inputs'!N23</x:f>
        <x:v>1.369785</x:v>
      </x:c>
      <x:c r="N23" s="55" t="n">
        <x:f>'Cost inputs'!O23</x:f>
        <x:v>3.768027</x:v>
      </x:c>
      <x:c r="O23" s="49" t="s">
        <x:v>111</x:v>
      </x:c>
    </x:row>
    <x:row r="24" ht="14.25" customHeight="1">
      <x:c r="A24" s="50" t="s">
        <x:v>68</x:v>
      </x:c>
      <x:c r="B24" s="69" t="s">
        <x:v>112</x:v>
      </x:c>
      <x:c r="C24" s="50" t="s">
        <x:v>108</x:v>
      </x:c>
      <x:c r="D24" s="50" t="s">
        <x:v>34</x:v>
      </x:c>
      <x:c r="E24" s="197" t="n">
        <x:v>96.633</x:v>
      </x:c>
      <x:c r="F24" s="197" t="n">
        <x:v>94.7195</x:v>
      </x:c>
      <x:c r="G24" s="197" t="n">
        <x:v>98.3824</x:v>
      </x:c>
      <x:c r="H24" s="197" t="n">
        <x:v>94.7592</x:v>
      </x:c>
      <x:c r="I24" s="197" t="n">
        <x:v>99.1957</x:v>
      </x:c>
      <x:c r="J24" s="197" t="n">
        <x:v>96.8586</x:v>
      </x:c>
      <x:c r="K24" s="69" t="str">
        <x:v>86.5724 (82.1067–90.0586)</x:v>
      </x:c>
      <x:c r="L24" s="70" t="n">
        <x:f>'Cost inputs'!M24</x:f>
        <x:v>2.3982419999999998</x:v>
      </x:c>
      <x:c r="M24" s="70" t="n">
        <x:f>'Cost inputs'!N24</x:f>
        <x:v>11.179635</x:v>
      </x:c>
      <x:c r="N24" s="70" t="n">
        <x:f>'Cost inputs'!O24</x:f>
        <x:v>13.577876999999999</x:v>
      </x:c>
      <x:c r="O24" s="69" t="s">
        <x:v>113</x:v>
      </x:c>
    </x:row>
    <x:row r="25" ht="21.600000381469727" customHeight="1">
      <x:c r="A25" s="184" t="s">
        <x:v>114</x:v>
      </x:c>
      <x:c r="B25" s="184"/>
      <x:c r="C25" s="184"/>
      <x:c r="D25" s="184"/>
      <x:c r="E25" s="184"/>
      <x:c r="F25" s="184"/>
      <x:c r="G25" s="184"/>
      <x:c r="H25" s="184"/>
      <x:c r="I25" s="184"/>
      <x:c r="J25" s="184"/>
      <x:c r="K25" s="184"/>
      <x:c r="L25" s="184"/>
      <x:c r="M25" s="184"/>
      <x:c r="N25" s="184"/>
      <x:c r="O25" s="184"/>
    </x:row>
    <x:row r="26" ht="21.600000381469727" customHeight="1">
      <x:c r="A26" s="184" t="s">
        <x:v>115</x:v>
      </x:c>
      <x:c r="B26" s="184"/>
      <x:c r="C26" s="184"/>
      <x:c r="D26" s="184"/>
      <x:c r="E26" s="184"/>
      <x:c r="F26" s="184"/>
      <x:c r="G26" s="184"/>
      <x:c r="H26" s="184"/>
      <x:c r="I26" s="184"/>
      <x:c r="J26" s="184"/>
      <x:c r="K26" s="184"/>
      <x:c r="L26" s="184"/>
      <x:c r="M26" s="184"/>
      <x:c r="N26" s="184"/>
      <x:c r="O26" s="184"/>
    </x:row>
  </x:sheetData>
  <x:mergeCells>
    <x:mergeCell ref="A1:O1"/>
    <x:mergeCell ref="A2:O2"/>
    <x:mergeCell ref="A25:O25"/>
    <x:mergeCell ref="A26:O2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2" customWidth="1"/>
    <x:col min="2" max="5" width="14" customWidth="1"/>
    <x:col min="6" max="7" width="17" customWidth="1"/>
    <x:col min="8" max="8" width="16" customWidth="1"/>
    <x:col min="9" max="9" width="18" customWidth="1"/>
  </x:cols>
  <x:sheetData>
    <x:row r="1" ht="32.099998474121094" customHeight="1">
      <x:c r="A1" s="181" t="s">
        <x:v>116</x:v>
      </x:c>
      <x:c r="B1" s="181"/>
      <x:c r="C1" s="181"/>
      <x:c r="D1" s="181"/>
      <x:c r="E1" s="181"/>
      <x:c r="F1" s="181"/>
      <x:c r="G1" s="181"/>
      <x:c r="H1" s="181"/>
      <x:c r="I1" s="183"/>
    </x:row>
    <x:row r="2" ht="33.95000076293945" customHeight="1">
      <x:c r="A2" s="185" t="s">
        <x:v>117</x:v>
      </x:c>
      <x:c r="B2" s="185"/>
      <x:c r="C2" s="185"/>
      <x:c r="D2" s="185"/>
      <x:c r="E2" s="185"/>
      <x:c r="F2" s="185"/>
      <x:c r="G2" s="185"/>
      <x:c r="H2" s="185"/>
      <x:c r="I2" s="183"/>
    </x:row>
    <x:row r="4" ht="42" customHeight="1">
      <x:c r="A4" s="1" t="s">
        <x:v>118</x:v>
      </x:c>
      <x:c r="B4" s="2" t="s">
        <x:v>119</x:v>
      </x:c>
      <x:c r="C4" s="2" t="s">
        <x:v>120</x:v>
      </x:c>
      <x:c r="D4" s="2" t="s">
        <x:v>121</x:v>
      </x:c>
      <x:c r="E4" s="2" t="s">
        <x:v>122</x:v>
      </x:c>
      <x:c r="F4" s="2" t="s">
        <x:v>123</x:v>
      </x:c>
      <x:c r="G4" s="2" t="s">
        <x:v>124</x:v>
      </x:c>
      <x:c r="H4" s="3" t="s">
        <x:v>125</x:v>
      </x:c>
      <x:c r="I4" s="2" t="s">
        <x:v>126</x:v>
      </x:c>
    </x:row>
    <x:row r="5">
      <x:c r="A5" s="14" t="s">
        <x:v>127</x:v>
      </x:c>
      <x:c r="B5" s="15" t="n">
        <x:v>244</x:v>
      </x:c>
      <x:c r="C5" s="15" t="n">
        <x:v>39</x:v>
      </x:c>
      <x:c r="D5" s="15" t="n">
        <x:v>62</x:v>
      </x:c>
      <x:c r="E5" s="15" t="n">
        <x:v>55</x:v>
      </x:c>
      <x:c r="F5" s="198" t="n">
        <x:v>86.2191</x:v>
      </x:c>
      <x:c r="G5" s="198" t="n">
        <x:v>47.0085</x:v>
      </x:c>
      <x:c r="H5" s="198" t="n">
        <x:v>74.75</x:v>
      </x:c>
      <x:c r="I5" s="15" t="str">
        <x:v>299/400</x:v>
      </x:c>
    </x:row>
    <x:row r="6">
      <x:c r="A6" s="11" t="s">
        <x:v>128</x:v>
      </x:c>
      <x:c r="B6" s="10" t="n">
        <x:v>237</x:v>
      </x:c>
      <x:c r="C6" s="10" t="n">
        <x:v>46</x:v>
      </x:c>
      <x:c r="D6" s="10" t="n">
        <x:v>83</x:v>
      </x:c>
      <x:c r="E6" s="10" t="n">
        <x:v>34</x:v>
      </x:c>
      <x:c r="F6" s="199" t="n">
        <x:v>83.7456</x:v>
      </x:c>
      <x:c r="G6" s="199" t="n">
        <x:v>29.0598</x:v>
      </x:c>
      <x:c r="H6" s="199" t="n">
        <x:v>67.75</x:v>
      </x:c>
      <x:c r="I6" s="10" t="str">
        <x:v>271/400</x:v>
      </x:c>
    </x:row>
    <x:row r="7">
      <x:c r="A7" s="11" t="s">
        <x:v>129</x:v>
      </x:c>
      <x:c r="B7" s="10" t="n">
        <x:v>235</x:v>
      </x:c>
      <x:c r="C7" s="10" t="n">
        <x:v>48</x:v>
      </x:c>
      <x:c r="D7" s="10" t="n">
        <x:v>112</x:v>
      </x:c>
      <x:c r="E7" s="10" t="n">
        <x:v>5</x:v>
      </x:c>
      <x:c r="F7" s="199" t="n">
        <x:v>83.0389</x:v>
      </x:c>
      <x:c r="G7" s="199" t="n">
        <x:v>4.2735</x:v>
      </x:c>
      <x:c r="H7" s="199" t="n">
        <x:v>60</x:v>
      </x:c>
      <x:c r="I7" s="10" t="str">
        <x:v>240/400</x:v>
      </x:c>
    </x:row>
    <x:row r="8">
      <x:c r="A8" s="11" t="s">
        <x:v>130</x:v>
      </x:c>
      <x:c r="B8" s="10" t="n">
        <x:v>234</x:v>
      </x:c>
      <x:c r="C8" s="10" t="n">
        <x:v>49</x:v>
      </x:c>
      <x:c r="D8" s="10" t="n">
        <x:v>84</x:v>
      </x:c>
      <x:c r="E8" s="10" t="n">
        <x:v>33</x:v>
      </x:c>
      <x:c r="F8" s="199" t="n">
        <x:v>82.6855</x:v>
      </x:c>
      <x:c r="G8" s="199" t="n">
        <x:v>28.2051</x:v>
      </x:c>
      <x:c r="H8" s="199" t="n">
        <x:v>66.75</x:v>
      </x:c>
      <x:c r="I8" s="10" t="str">
        <x:v>267/400</x:v>
      </x:c>
    </x:row>
    <x:row r="9">
      <x:c r="A9" s="12" t="s">
        <x:v>131</x:v>
      </x:c>
      <x:c r="B9" s="13" t="n">
        <x:v>193</x:v>
      </x:c>
      <x:c r="C9" s="13" t="n">
        <x:v>90</x:v>
      </x:c>
      <x:c r="D9" s="13" t="n">
        <x:v>103</x:v>
      </x:c>
      <x:c r="E9" s="13" t="n">
        <x:v>14</x:v>
      </x:c>
      <x:c r="F9" s="200" t="n">
        <x:v>68.1979</x:v>
      </x:c>
      <x:c r="G9" s="200" t="n">
        <x:v>11.9658</x:v>
      </x:c>
      <x:c r="H9" s="200" t="n">
        <x:v>51.75</x:v>
      </x:c>
      <x:c r="I9" s="13" t="str">
        <x:v>207/400</x:v>
      </x:c>
    </x:row>
    <x:row r="11" ht="42" customHeight="1">
      <x:c r="A11" s="186" t="s">
        <x:v>132</x:v>
      </x:c>
      <x:c r="B11" s="186"/>
      <x:c r="C11" s="186"/>
      <x:c r="D11" s="186"/>
      <x:c r="E11" s="186"/>
      <x:c r="F11" s="186"/>
      <x:c r="G11" s="186"/>
      <x:c r="H11" s="186"/>
      <x:c r="I11" s="183"/>
    </x:row>
  </x:sheetData>
  <x:mergeCells>
    <x:mergeCell ref="A1:I1"/>
    <x:mergeCell ref="A2:I2"/>
    <x:mergeCell ref="A11:I1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2" customWidth="1"/>
    <x:col min="2" max="2" width="24" customWidth="1"/>
    <x:col min="3" max="3" width="25" customWidth="1"/>
    <x:col min="4" max="4" width="20" customWidth="1"/>
    <x:col min="5" max="5" width="13" customWidth="1"/>
    <x:col min="6" max="6" width="12" customWidth="1"/>
    <x:col min="7" max="7" width="14" customWidth="1"/>
    <x:col min="8" max="11" width="8" customWidth="1"/>
    <x:col min="12" max="12" width="13" customWidth="1"/>
    <x:col min="13" max="13" width="14" customWidth="1"/>
    <x:col min="14" max="14" width="16" customWidth="1"/>
    <x:col min="15" max="15" width="12" customWidth="1"/>
    <x:col min="16" max="16" width="15" customWidth="1"/>
    <x:col min="17" max="19" width="13" customWidth="1"/>
  </x:cols>
  <x:sheetData>
    <x:row r="1" ht="16.700000762939453" customHeight="1">
      <x:c r="A1" s="181" t="s">
        <x:v>133</x:v>
      </x:c>
      <x:c r="B1" s="181" t="s">
        <x:v>133</x:v>
      </x:c>
      <x:c r="C1" s="181" t="s">
        <x:v>133</x:v>
      </x:c>
      <x:c r="D1" s="181" t="s">
        <x:v>133</x:v>
      </x:c>
      <x:c r="E1" s="181" t="s">
        <x:v>133</x:v>
      </x:c>
      <x:c r="F1" s="181" t="s">
        <x:v>133</x:v>
      </x:c>
      <x:c r="G1" s="181" t="s">
        <x:v>133</x:v>
      </x:c>
      <x:c r="H1" s="181" t="s">
        <x:v>133</x:v>
      </x:c>
      <x:c r="I1" s="181" t="s">
        <x:v>133</x:v>
      </x:c>
      <x:c r="J1" s="181" t="s">
        <x:v>133</x:v>
      </x:c>
      <x:c r="K1" s="181" t="s">
        <x:v>133</x:v>
      </x:c>
      <x:c r="L1" s="181" t="s">
        <x:v>133</x:v>
      </x:c>
      <x:c r="M1" s="181" t="s">
        <x:v>133</x:v>
      </x:c>
      <x:c r="N1" s="181" t="s">
        <x:v>133</x:v>
      </x:c>
      <x:c r="O1" s="181" t="s">
        <x:v>133</x:v>
      </x:c>
      <x:c r="P1" s="181" t="s">
        <x:v>133</x:v>
      </x:c>
      <x:c r="Q1" s="181" t="s">
        <x:v>133</x:v>
      </x:c>
      <x:c r="R1" s="181" t="s">
        <x:v>133</x:v>
      </x:c>
      <x:c r="S1" s="181" t="s">
        <x:v>133</x:v>
      </x:c>
    </x:row>
    <x:row r="2" ht="14.25" customHeight="1"/>
    <x:row r="3" ht="24" customHeight="1">
      <x:c r="A3" s="1" t="s">
        <x:v>3</x:v>
      </x:c>
      <x:c r="B3" s="2" t="s">
        <x:v>5</x:v>
      </x:c>
      <x:c r="C3" s="2" t="s">
        <x:v>75</x:v>
      </x:c>
      <x:c r="D3" s="2" t="s">
        <x:v>6</x:v>
      </x:c>
      <x:c r="E3" s="2" t="s">
        <x:v>134</x:v>
      </x:c>
      <x:c r="F3" s="2" t="s">
        <x:v>135</x:v>
      </x:c>
      <x:c r="G3" s="2" t="s">
        <x:v>136</x:v>
      </x:c>
      <x:c r="H3" s="2" t="s">
        <x:v>137</x:v>
      </x:c>
      <x:c r="I3" s="2" t="s">
        <x:v>138</x:v>
      </x:c>
      <x:c r="J3" s="2" t="s">
        <x:v>139</x:v>
      </x:c>
      <x:c r="K3" s="2" t="s">
        <x:v>140</x:v>
      </x:c>
      <x:c r="L3" s="2" t="s">
        <x:v>141</x:v>
      </x:c>
      <x:c r="M3" s="2" t="s">
        <x:v>142</x:v>
      </x:c>
      <x:c r="N3" s="2" t="s">
        <x:v>143</x:v>
      </x:c>
      <x:c r="O3" s="2" t="s">
        <x:v>144</x:v>
      </x:c>
      <x:c r="P3" s="2" t="s">
        <x:v>145</x:v>
      </x:c>
      <x:c r="Q3" s="2" t="s">
        <x:v>15</x:v>
      </x:c>
      <x:c r="R3" s="2" t="s">
        <x:v>16</x:v>
      </x:c>
      <x:c r="S3" s="3" t="s">
        <x:v>17</x:v>
      </x:c>
    </x:row>
    <x:row r="4" ht="14.25" customHeight="1">
      <x:c r="A4" s="71" t="s">
        <x:v>25</x:v>
      </x:c>
      <x:c r="B4" s="71" t="s">
        <x:v>27</x:v>
      </x:c>
      <x:c r="C4" s="71" t="s">
        <x:v>89</x:v>
      </x:c>
      <x:c r="D4" s="71" t="s">
        <x:v>28</x:v>
      </x:c>
      <x:c r="E4" s="72">
        <x:v>206</x:v>
      </x:c>
      <x:c r="F4" s="72">
        <x:v>283</x:v>
      </x:c>
      <x:c r="G4" s="73" t="n">
        <x:f t="shared" ref="G4:G16" si="0">E4/F4*100</x:f>
        <x:v>72.79151943462897</x:v>
      </x:c>
      <x:c r="H4" s="72">
        <x:v>236</x:v>
      </x:c>
      <x:c r="I4" s="72">
        <x:v>47</x:v>
      </x:c>
      <x:c r="J4" s="72">
        <x:v>63</x:v>
      </x:c>
      <x:c r="K4" s="72">
        <x:v>54</x:v>
      </x:c>
      <x:c r="L4" s="73" t="n">
        <x:f t="shared" ref="L4:L16" si="1">H4/(H4+I4)*100</x:f>
        <x:v>83.3922261484099</x:v>
      </x:c>
      <x:c r="M4" s="73" t="n">
        <x:f t="shared" ref="M4:M16" si="2">K4/(J4+K4)*100</x:f>
        <x:v>46.15384615384615</x:v>
      </x:c>
      <x:c r="N4" s="73" t="n">
        <x:f t="shared" ref="N4:N16" si="3">(H4+K4)/(H4+I4+J4+K4)*100</x:f>
        <x:v>72.5</x:v>
      </x:c>
      <x:c r="O4" s="72">
        <x:v>234</x:v>
      </x:c>
      <x:c r="P4" s="73" t="n">
        <x:f t="shared" ref="P4:P16" si="4">O4/400*100</x:f>
        <x:v>58.5</x:v>
      </x:c>
      <x:c r="Q4" s="74" t="s">
        <x:v>23</x:v>
      </x:c>
      <x:c r="R4" s="74" t="s">
        <x:v>23</x:v>
      </x:c>
      <x:c r="S4" s="74" t="s">
        <x:v>23</x:v>
      </x:c>
    </x:row>
    <x:row r="5" ht="14.25" customHeight="1">
      <x:c r="A5" s="75" t="s">
        <x:v>25</x:v>
      </x:c>
      <x:c r="B5" s="75" t="s">
        <x:v>27</x:v>
      </x:c>
      <x:c r="C5" s="75" t="s">
        <x:v>89</x:v>
      </x:c>
      <x:c r="D5" s="75" t="s">
        <x:v>32</x:v>
      </x:c>
      <x:c r="E5" s="25">
        <x:v>209</x:v>
      </x:c>
      <x:c r="F5" s="25">
        <x:v>283</x:v>
      </x:c>
      <x:c r="G5" s="24">
        <x:f t="shared" si="0"/>
        <x:v>73.851590106007066</x:v>
      </x:c>
      <x:c r="H5" s="25">
        <x:v>234</x:v>
      </x:c>
      <x:c r="I5" s="25">
        <x:v>49</x:v>
      </x:c>
      <x:c r="J5" s="25">
        <x:v>69</x:v>
      </x:c>
      <x:c r="K5" s="25">
        <x:v>48</x:v>
      </x:c>
      <x:c r="L5" s="24">
        <x:f t="shared" si="1"/>
        <x:v>82.685512367491171</x:v>
      </x:c>
      <x:c r="M5" s="24">
        <x:f t="shared" si="2"/>
        <x:v>41.025641025641022</x:v>
      </x:c>
      <x:c r="N5" s="24">
        <x:f t="shared" si="3"/>
        <x:v>70.5</x:v>
      </x:c>
      <x:c r="O5" s="25">
        <x:v>231</x:v>
      </x:c>
      <x:c r="P5" s="24">
        <x:f t="shared" si="4"/>
        <x:v>57.75</x:v>
      </x:c>
      <x:c r="Q5" s="26" t="s">
        <x:v>23</x:v>
      </x:c>
      <x:c r="R5" s="26" t="s">
        <x:v>23</x:v>
      </x:c>
      <x:c r="S5" s="26" t="s">
        <x:v>23</x:v>
      </x:c>
    </x:row>
    <x:row r="6" ht="14.25" customHeight="1">
      <x:c r="A6" s="75" t="s">
        <x:v>25</x:v>
      </x:c>
      <x:c r="B6" s="75" t="s">
        <x:v>27</x:v>
      </x:c>
      <x:c r="C6" s="75" t="s">
        <x:v>89</x:v>
      </x:c>
      <x:c r="D6" s="75" t="s">
        <x:v>34</x:v>
      </x:c>
      <x:c r="E6" s="25">
        <x:v>200</x:v>
      </x:c>
      <x:c r="F6" s="25">
        <x:v>283</x:v>
      </x:c>
      <x:c r="G6" s="24">
        <x:f t="shared" si="0"/>
        <x:v>70.671378091872796</x:v>
      </x:c>
      <x:c r="H6" s="25">
        <x:v>226</x:v>
      </x:c>
      <x:c r="I6" s="25">
        <x:v>57</x:v>
      </x:c>
      <x:c r="J6" s="25">
        <x:v>68</x:v>
      </x:c>
      <x:c r="K6" s="25">
        <x:v>49</x:v>
      </x:c>
      <x:c r="L6" s="24">
        <x:f t="shared" si="1"/>
        <x:v>79.858657243816253</x:v>
      </x:c>
      <x:c r="M6" s="24">
        <x:f t="shared" si="2"/>
        <x:v>41.880341880341881</x:v>
      </x:c>
      <x:c r="N6" s="24">
        <x:f t="shared" si="3"/>
        <x:v>68.75</x:v>
      </x:c>
      <x:c r="O6" s="25">
        <x:v>225</x:v>
      </x:c>
      <x:c r="P6" s="24">
        <x:f t="shared" si="4"/>
        <x:v>56.25</x:v>
      </x:c>
      <x:c r="Q6" s="26" t="s">
        <x:v>23</x:v>
      </x:c>
      <x:c r="R6" s="26" t="s">
        <x:v>23</x:v>
      </x:c>
      <x:c r="S6" s="26" t="s">
        <x:v>23</x:v>
      </x:c>
    </x:row>
    <x:row r="7" ht="14.25" customHeight="1">
      <x:c r="A7" s="76" t="s">
        <x:v>25</x:v>
      </x:c>
      <x:c r="B7" s="76" t="s">
        <x:v>36</x:v>
      </x:c>
      <x:c r="C7" s="76" t="s">
        <x:v>93</x:v>
      </x:c>
      <x:c r="D7" s="76" t="s">
        <x:v>28</x:v>
      </x:c>
      <x:c r="E7" s="29">
        <x:v>216</x:v>
      </x:c>
      <x:c r="F7" s="29">
        <x:v>283</x:v>
      </x:c>
      <x:c r="G7" s="28">
        <x:f t="shared" si="0"/>
        <x:v>76.325088339222617</x:v>
      </x:c>
      <x:c r="H7" s="29">
        <x:v>238</x:v>
      </x:c>
      <x:c r="I7" s="29">
        <x:v>45</x:v>
      </x:c>
      <x:c r="J7" s="29">
        <x:v>69</x:v>
      </x:c>
      <x:c r="K7" s="29">
        <x:v>48</x:v>
      </x:c>
      <x:c r="L7" s="28">
        <x:f t="shared" si="1"/>
        <x:v>84.098939929328623</x:v>
      </x:c>
      <x:c r="M7" s="28">
        <x:f t="shared" si="2"/>
        <x:v>41.025641025641022</x:v>
      </x:c>
      <x:c r="N7" s="28">
        <x:f t="shared" si="3"/>
        <x:v>71.5</x:v>
      </x:c>
      <x:c r="O7" s="29">
        <x:v>238</x:v>
      </x:c>
      <x:c r="P7" s="28">
        <x:f t="shared" si="4"/>
        <x:v>59.5</x:v>
      </x:c>
      <x:c r="Q7" s="30" t="s">
        <x:v>23</x:v>
      </x:c>
      <x:c r="R7" s="30" t="s">
        <x:v>23</x:v>
      </x:c>
      <x:c r="S7" s="30" t="s">
        <x:v>23</x:v>
      </x:c>
    </x:row>
    <x:row r="8" ht="14.25" customHeight="1">
      <x:c r="A8" s="76" t="s">
        <x:v>25</x:v>
      </x:c>
      <x:c r="B8" s="76" t="s">
        <x:v>36</x:v>
      </x:c>
      <x:c r="C8" s="76" t="s">
        <x:v>93</x:v>
      </x:c>
      <x:c r="D8" s="76" t="s">
        <x:v>32</x:v>
      </x:c>
      <x:c r="E8" s="29">
        <x:v>219</x:v>
      </x:c>
      <x:c r="F8" s="29">
        <x:v>283</x:v>
      </x:c>
      <x:c r="G8" s="28">
        <x:f t="shared" si="0"/>
        <x:v>77.385159010600702</x:v>
      </x:c>
      <x:c r="H8" s="29">
        <x:v>240</x:v>
      </x:c>
      <x:c r="I8" s="29">
        <x:v>43</x:v>
      </x:c>
      <x:c r="J8" s="29">
        <x:v>72</x:v>
      </x:c>
      <x:c r="K8" s="29">
        <x:v>45</x:v>
      </x:c>
      <x:c r="L8" s="28">
        <x:f t="shared" si="1"/>
        <x:v>84.805653710247356</x:v>
      </x:c>
      <x:c r="M8" s="28">
        <x:f t="shared" si="2"/>
        <x:v>38.461538461538467</x:v>
      </x:c>
      <x:c r="N8" s="28">
        <x:f t="shared" si="3"/>
        <x:v>71.25</x:v>
      </x:c>
      <x:c r="O8" s="29">
        <x:v>238</x:v>
      </x:c>
      <x:c r="P8" s="28">
        <x:f t="shared" si="4"/>
        <x:v>59.5</x:v>
      </x:c>
      <x:c r="Q8" s="30" t="s">
        <x:v>23</x:v>
      </x:c>
      <x:c r="R8" s="30" t="s">
        <x:v>23</x:v>
      </x:c>
      <x:c r="S8" s="30" t="s">
        <x:v>23</x:v>
      </x:c>
    </x:row>
    <x:row r="9" ht="14.25" customHeight="1">
      <x:c r="A9" s="76" t="s">
        <x:v>25</x:v>
      </x:c>
      <x:c r="B9" s="76" t="s">
        <x:v>36</x:v>
      </x:c>
      <x:c r="C9" s="76" t="s">
        <x:v>93</x:v>
      </x:c>
      <x:c r="D9" s="76" t="s">
        <x:v>34</x:v>
      </x:c>
      <x:c r="E9" s="29">
        <x:v>220</x:v>
      </x:c>
      <x:c r="F9" s="29">
        <x:v>283</x:v>
      </x:c>
      <x:c r="G9" s="83">
        <x:f t="shared" si="0"/>
        <x:v>77.738515901060069</x:v>
      </x:c>
      <x:c r="H9" s="57">
        <x:v>239</x:v>
      </x:c>
      <x:c r="I9" s="57">
        <x:v>44</x:v>
      </x:c>
      <x:c r="J9" s="57">
        <x:v>69</x:v>
      </x:c>
      <x:c r="K9" s="57">
        <x:v>48</x:v>
      </x:c>
      <x:c r="L9" s="83">
        <x:f t="shared" si="1"/>
        <x:v>84.452296819787989</x:v>
      </x:c>
      <x:c r="M9" s="83">
        <x:f t="shared" si="2"/>
        <x:v>41.025641025641022</x:v>
      </x:c>
      <x:c r="N9" s="83">
        <x:f t="shared" si="3"/>
        <x:v>71.75</x:v>
      </x:c>
      <x:c r="O9" s="57">
        <x:v>243</x:v>
      </x:c>
      <x:c r="P9" s="83">
        <x:f t="shared" si="4"/>
        <x:v>60.750000000000007</x:v>
      </x:c>
      <x:c r="Q9" s="30" t="s">
        <x:v>23</x:v>
      </x:c>
      <x:c r="R9" s="30" t="s">
        <x:v>23</x:v>
      </x:c>
      <x:c r="S9" s="30" t="s">
        <x:v>23</x:v>
      </x:c>
    </x:row>
    <x:row r="10" ht="14.25" customHeight="1">
      <x:c r="A10" s="77" t="s">
        <x:v>39</x:v>
      </x:c>
      <x:c r="B10" s="77" t="s">
        <x:v>41</x:v>
      </x:c>
      <x:c r="C10" s="77" t="s">
        <x:v>97</x:v>
      </x:c>
      <x:c r="D10" s="77" t="s">
        <x:v>28</x:v>
      </x:c>
      <x:c r="E10" s="33">
        <x:v>194</x:v>
      </x:c>
      <x:c r="F10" s="33">
        <x:v>283</x:v>
      </x:c>
      <x:c r="G10" s="32">
        <x:f t="shared" si="0"/>
        <x:v>68.551236749116612</x:v>
      </x:c>
      <x:c r="H10" s="33">
        <x:v>237</x:v>
      </x:c>
      <x:c r="I10" s="33">
        <x:v>46</x:v>
      </x:c>
      <x:c r="J10" s="33">
        <x:v>69</x:v>
      </x:c>
      <x:c r="K10" s="33">
        <x:v>48</x:v>
      </x:c>
      <x:c r="L10" s="32">
        <x:f t="shared" si="1"/>
        <x:v>83.745583038869256</x:v>
      </x:c>
      <x:c r="M10" s="32">
        <x:f t="shared" si="2"/>
        <x:v>41.025641025641022</x:v>
      </x:c>
      <x:c r="N10" s="32">
        <x:f t="shared" si="3"/>
        <x:v>71.25</x:v>
      </x:c>
      <x:c r="O10" s="33">
        <x:v>222</x:v>
      </x:c>
      <x:c r="P10" s="32">
        <x:f t="shared" si="4"/>
        <x:v>55.500000000000007</x:v>
      </x:c>
      <x:c r="Q10" s="34" t="n">
        <x:f>'Cost inputs'!M12</x:f>
        <x:v>0.647746</x:v>
      </x:c>
      <x:c r="R10" s="34" t="n">
        <x:f>'Cost inputs'!N12</x:f>
        <x:v>0.1619632</x:v>
      </x:c>
      <x:c r="S10" s="34" t="n">
        <x:f>'Cost inputs'!O12</x:f>
        <x:v>0.8097092</x:v>
      </x:c>
    </x:row>
    <x:row r="11" ht="14.25" customHeight="1">
      <x:c r="A11" s="77" t="s">
        <x:v>39</x:v>
      </x:c>
      <x:c r="B11" s="77" t="s">
        <x:v>45</x:v>
      </x:c>
      <x:c r="C11" s="77" t="s">
        <x:v>99</x:v>
      </x:c>
      <x:c r="D11" s="77" t="s">
        <x:v>28</x:v>
      </x:c>
      <x:c r="E11" s="33">
        <x:v>233</x:v>
      </x:c>
      <x:c r="F11" s="33">
        <x:v>283</x:v>
      </x:c>
      <x:c r="G11" s="32">
        <x:f t="shared" si="0"/>
        <x:v>82.332155477031804</x:v>
      </x:c>
      <x:c r="H11" s="33">
        <x:v>245</x:v>
      </x:c>
      <x:c r="I11" s="33">
        <x:v>38</x:v>
      </x:c>
      <x:c r="J11" s="33">
        <x:v>72</x:v>
      </x:c>
      <x:c r="K11" s="33">
        <x:v>45</x:v>
      </x:c>
      <x:c r="L11" s="32">
        <x:f t="shared" si="1"/>
        <x:v>86.572438162544174</x:v>
      </x:c>
      <x:c r="M11" s="32">
        <x:f t="shared" si="2"/>
        <x:v>38.461538461538467</x:v>
      </x:c>
      <x:c r="N11" s="32">
        <x:f t="shared" si="3"/>
        <x:v>72.5</x:v>
      </x:c>
      <x:c r="O11" s="33">
        <x:v>250</x:v>
      </x:c>
      <x:c r="P11" s="32">
        <x:f t="shared" si="4"/>
        <x:v>62.5</x:v>
      </x:c>
      <x:c r="Q11" s="34" t="n">
        <x:f>'Cost inputs'!M13</x:f>
        <x:v>1.295492</x:v>
      </x:c>
      <x:c r="R11" s="34" t="n">
        <x:f>'Cost inputs'!N13</x:f>
        <x:v>0.42016640000000005</x:v>
      </x:c>
      <x:c r="S11" s="34" t="n">
        <x:f>'Cost inputs'!O13</x:f>
        <x:v>1.7156584000000001</x:v>
      </x:c>
    </x:row>
    <x:row r="12" ht="14.25" customHeight="1">
      <x:c r="A12" s="78" t="s">
        <x:v>47</x:v>
      </x:c>
      <x:c r="B12" s="84" t="s">
        <x:v>49</x:v>
      </x:c>
      <x:c r="C12" s="78" t="s">
        <x:v>101</x:v>
      </x:c>
      <x:c r="D12" s="78" t="s">
        <x:v>28</x:v>
      </x:c>
      <x:c r="E12" s="37">
        <x:v>232</x:v>
      </x:c>
      <x:c r="F12" s="37">
        <x:v>283</x:v>
      </x:c>
      <x:c r="G12" s="85">
        <x:f t="shared" si="0"/>
        <x:v>81.978798586572438</x:v>
      </x:c>
      <x:c r="H12" s="60">
        <x:v>237</x:v>
      </x:c>
      <x:c r="I12" s="60">
        <x:v>46</x:v>
      </x:c>
      <x:c r="J12" s="60">
        <x:v>55</x:v>
      </x:c>
      <x:c r="K12" s="60">
        <x:v>62</x:v>
      </x:c>
      <x:c r="L12" s="85">
        <x:f t="shared" si="1"/>
        <x:v>83.745583038869256</x:v>
      </x:c>
      <x:c r="M12" s="85">
        <x:f t="shared" si="2"/>
        <x:v>52.991452991452995</x:v>
      </x:c>
      <x:c r="N12" s="85">
        <x:f t="shared" si="3"/>
        <x:v>74.75</x:v>
      </x:c>
      <x:c r="O12" s="60">
        <x:v>267</x:v>
      </x:c>
      <x:c r="P12" s="85">
        <x:f t="shared" si="4"/>
        <x:v>66.75</x:v>
      </x:c>
      <x:c r="Q12" s="61" t="n">
        <x:f>'Cost inputs'!M14</x:f>
        <x:v>4.0484124999999995</x:v>
      </x:c>
      <x:c r="R12" s="61" t="n">
        <x:f>'Cost inputs'!N14</x:f>
        <x:v>1.519665</x:v>
      </x:c>
      <x:c r="S12" s="61" t="n">
        <x:f>'Cost inputs'!O14</x:f>
        <x:v>5.568077499999999</x:v>
      </x:c>
    </x:row>
    <x:row r="13" ht="14.25" customHeight="1">
      <x:c r="A13" s="78" t="s">
        <x:v>47</x:v>
      </x:c>
      <x:c r="B13" s="78" t="s">
        <x:v>49</x:v>
      </x:c>
      <x:c r="C13" s="78" t="s">
        <x:v>101</x:v>
      </x:c>
      <x:c r="D13" s="78" t="s">
        <x:v>32</x:v>
      </x:c>
      <x:c r="E13" s="37">
        <x:v>237</x:v>
      </x:c>
      <x:c r="F13" s="37">
        <x:v>283</x:v>
      </x:c>
      <x:c r="G13" s="36">
        <x:f t="shared" si="0"/>
        <x:v>83.745583038869256</x:v>
      </x:c>
      <x:c r="H13" s="37">
        <x:v>241</x:v>
      </x:c>
      <x:c r="I13" s="37">
        <x:v>42</x:v>
      </x:c>
      <x:c r="J13" s="37">
        <x:v>64</x:v>
      </x:c>
      <x:c r="K13" s="37">
        <x:v>53</x:v>
      </x:c>
      <x:c r="L13" s="36">
        <x:f t="shared" si="1"/>
        <x:v>85.159010600706708</x:v>
      </x:c>
      <x:c r="M13" s="36">
        <x:f t="shared" si="2"/>
        <x:v>45.299145299145302</x:v>
      </x:c>
      <x:c r="N13" s="36">
        <x:f t="shared" si="3"/>
        <x:v>73.5</x:v>
      </x:c>
      <x:c r="O13" s="37">
        <x:v>263</x:v>
      </x:c>
      <x:c r="P13" s="36">
        <x:f t="shared" si="4"/>
        <x:v>65.75</x:v>
      </x:c>
      <x:c r="Q13" s="38" t="n">
        <x:f>'Cost inputs'!M15</x:f>
        <x:v>4.0484124999999995</x:v>
      </x:c>
      <x:c r="R13" s="38" t="n">
        <x:f>'Cost inputs'!N15</x:f>
        <x:v>2.36679</x:v>
      </x:c>
      <x:c r="S13" s="38" t="n">
        <x:f>'Cost inputs'!O15</x:f>
        <x:v>6.4152024999999995</x:v>
      </x:c>
    </x:row>
    <x:row r="14" ht="14.25" customHeight="1">
      <x:c r="A14" s="78" t="s">
        <x:v>47</x:v>
      </x:c>
      <x:c r="B14" s="78" t="s">
        <x:v>49</x:v>
      </x:c>
      <x:c r="C14" s="78" t="s">
        <x:v>101</x:v>
      </x:c>
      <x:c r="D14" s="78" t="s">
        <x:v>34</x:v>
      </x:c>
      <x:c r="E14" s="37">
        <x:v>237</x:v>
      </x:c>
      <x:c r="F14" s="37">
        <x:v>283</x:v>
      </x:c>
      <x:c r="G14" s="36">
        <x:f t="shared" si="0"/>
        <x:v>83.745583038869256</x:v>
      </x:c>
      <x:c r="H14" s="37">
        <x:v>226</x:v>
      </x:c>
      <x:c r="I14" s="37">
        <x:v>57</x:v>
      </x:c>
      <x:c r="J14" s="37">
        <x:v>58</x:v>
      </x:c>
      <x:c r="K14" s="37">
        <x:v>59</x:v>
      </x:c>
      <x:c r="L14" s="36">
        <x:f t="shared" si="1"/>
        <x:v>79.858657243816253</x:v>
      </x:c>
      <x:c r="M14" s="36">
        <x:f t="shared" si="2"/>
        <x:v>50.427350427350426</x:v>
      </x:c>
      <x:c r="N14" s="36">
        <x:f t="shared" si="3"/>
        <x:v>71.25</x:v>
      </x:c>
      <x:c r="O14" s="37">
        <x:v>272</x:v>
      </x:c>
      <x:c r="P14" s="36">
        <x:f t="shared" si="4"/>
        <x:v>68</x:v>
      </x:c>
      <x:c r="Q14" s="38" t="n">
        <x:f>'Cost inputs'!M16</x:f>
        <x:v>4.0484124999999995</x:v>
      </x:c>
      <x:c r="R14" s="38" t="n">
        <x:f>'Cost inputs'!N16</x:f>
        <x:v>19.1466</x:v>
      </x:c>
      <x:c r="S14" s="38" t="n">
        <x:f>'Cost inputs'!O16</x:f>
        <x:v>23.195012499999997</x:v>
      </x:c>
    </x:row>
    <x:row r="15" ht="14.25" customHeight="1">
      <x:c r="A15" s="79" t="s">
        <x:v>53</x:v>
      </x:c>
      <x:c r="B15" s="79" t="s">
        <x:v>55</x:v>
      </x:c>
      <x:c r="C15" s="79" t="s">
        <x:v>104</x:v>
      </x:c>
      <x:c r="D15" s="79" t="s">
        <x:v>28</x:v>
      </x:c>
      <x:c r="E15" s="41">
        <x:v>219</x:v>
      </x:c>
      <x:c r="F15" s="41">
        <x:v>283</x:v>
      </x:c>
      <x:c r="G15" s="40">
        <x:f t="shared" si="0"/>
        <x:v>77.385159010600702</x:v>
      </x:c>
      <x:c r="H15" s="41">
        <x:v>214</x:v>
      </x:c>
      <x:c r="I15" s="41">
        <x:v>69</x:v>
      </x:c>
      <x:c r="J15" s="41">
        <x:v>65</x:v>
      </x:c>
      <x:c r="K15" s="41">
        <x:v>52</x:v>
      </x:c>
      <x:c r="L15" s="40">
        <x:f t="shared" si="1"/>
        <x:v>75.618374558303884</x:v>
      </x:c>
      <x:c r="M15" s="40">
        <x:f t="shared" si="2"/>
        <x:v>44.444444444444443</x:v>
      </x:c>
      <x:c r="N15" s="40">
        <x:f t="shared" si="3"/>
        <x:v>66.5</x:v>
      </x:c>
      <x:c r="O15" s="41">
        <x:v>244</x:v>
      </x:c>
      <x:c r="P15" s="40">
        <x:f t="shared" si="4"/>
        <x:v>61</x:v>
      </x:c>
      <x:c r="Q15" s="42" t="n">
        <x:f>'Cost inputs'!M17</x:f>
        <x:v>8.096824999999999</x:v>
      </x:c>
      <x:c r="R15" s="42" t="n">
        <x:f>'Cost inputs'!N17</x:f>
        <x:v>2.92569</x:v>
      </x:c>
      <x:c r="S15" s="42" t="n">
        <x:f>'Cost inputs'!O17</x:f>
        <x:v>11.022514999999999</x:v>
      </x:c>
    </x:row>
    <x:row r="16" ht="14.25" customHeight="1">
      <x:c r="A16" s="80" t="s">
        <x:v>53</x:v>
      </x:c>
      <x:c r="B16" s="86" t="s">
        <x:v>55</x:v>
      </x:c>
      <x:c r="C16" s="80" t="s">
        <x:v>104</x:v>
      </x:c>
      <x:c r="D16" s="80" t="s">
        <x:v>32</x:v>
      </x:c>
      <x:c r="E16" s="45">
        <x:v>223</x:v>
      </x:c>
      <x:c r="F16" s="45">
        <x:v>283</x:v>
      </x:c>
      <x:c r="G16" s="87">
        <x:f t="shared" si="0"/>
        <x:v>78.798586572438168</x:v>
      </x:c>
      <x:c r="H16" s="63">
        <x:v>213</x:v>
      </x:c>
      <x:c r="I16" s="63">
        <x:v>70</x:v>
      </x:c>
      <x:c r="J16" s="63">
        <x:v>63</x:v>
      </x:c>
      <x:c r="K16" s="63">
        <x:v>54</x:v>
      </x:c>
      <x:c r="L16" s="87">
        <x:f t="shared" si="1"/>
        <x:v>75.265017667844518</x:v>
      </x:c>
      <x:c r="M16" s="87">
        <x:f t="shared" si="2"/>
        <x:v>46.153846153846153</x:v>
      </x:c>
      <x:c r="N16" s="87">
        <x:f t="shared" si="3"/>
        <x:v>66.75</x:v>
      </x:c>
      <x:c r="O16" s="63">
        <x:v>250</x:v>
      </x:c>
      <x:c r="P16" s="87">
        <x:f t="shared" si="4"/>
        <x:v>62.5</x:v>
      </x:c>
      <x:c r="Q16" s="46" t="n">
        <x:f>'Cost inputs'!M18</x:f>
        <x:v>8.096824999999999</x:v>
      </x:c>
      <x:c r="R16" s="46" t="n">
        <x:f>'Cost inputs'!N18</x:f>
        <x:v>5.03142</x:v>
      </x:c>
      <x:c r="S16" s="46" t="n">
        <x:f>'Cost inputs'!O18</x:f>
        <x:v>13.128245</x:v>
      </x:c>
    </x:row>
    <x:row r="17" ht="14.25" customHeight="1">
      <x:c r="A17" s="48" t="s">
        <x:v>53</x:v>
      </x:c>
      <x:c r="B17" s="48" t="s">
        <x:v>55</x:v>
      </x:c>
      <x:c r="C17" s="48" t="s">
        <x:v>104</x:v>
      </x:c>
      <x:c r="D17" s="48" t="s">
        <x:v>34</x:v>
      </x:c>
      <x:c r="E17" s="48">
        <x:v>215</x:v>
      </x:c>
      <x:c r="F17" s="48">
        <x:v>283</x:v>
      </x:c>
      <x:c r="G17" s="81" t="n">
        <x:f t="shared" ref="G17:G22" si="5">E17/F17*100</x:f>
        <x:v>75.97173144876325</x:v>
      </x:c>
      <x:c r="H17" s="48">
        <x:v>208</x:v>
      </x:c>
      <x:c r="I17" s="48">
        <x:v>75</x:v>
      </x:c>
      <x:c r="J17" s="48">
        <x:v>58</x:v>
      </x:c>
      <x:c r="K17" s="48">
        <x:v>59</x:v>
      </x:c>
      <x:c r="L17" s="81" t="n">
        <x:f t="shared" ref="L17:L22" si="6">H17/(H17+I17)*100</x:f>
        <x:v>73.4982332155477</x:v>
      </x:c>
      <x:c r="M17" s="81" t="n">
        <x:f t="shared" ref="M17:M22" si="7">K17/(J17+K17)*100</x:f>
        <x:v>50.427350427350426</x:v>
      </x:c>
      <x:c r="N17" s="81" t="n">
        <x:f t="shared" ref="N17:N22" si="8">(H17+K17)/(H17+I17+J17+K17)*100</x:f>
        <x:v>66.75</x:v>
      </x:c>
      <x:c r="O17" s="48">
        <x:v>249</x:v>
      </x:c>
      <x:c r="P17" s="81" t="n">
        <x:f t="shared" ref="P17:P22" si="9">O17/400*100</x:f>
        <x:v>62.25000000000001</x:v>
      </x:c>
      <x:c r="Q17" s="82" t="n">
        <x:f>'Cost inputs'!M19</x:f>
        <x:v>8.096824999999999</x:v>
      </x:c>
      <x:c r="R17" s="82" t="n">
        <x:f>'Cost inputs'!N19</x:f>
        <x:v>10.0479</x:v>
      </x:c>
      <x:c r="S17" s="82" t="n">
        <x:f>'Cost inputs'!O19</x:f>
        <x:v>18.144725</x:v>
      </x:c>
    </x:row>
    <x:row r="18" ht="14.25" customHeight="1">
      <x:c r="A18" s="68" t="s">
        <x:v>59</x:v>
      </x:c>
      <x:c r="B18" s="68" t="s">
        <x:v>61</x:v>
      </x:c>
      <x:c r="C18" s="68" t="s">
        <x:v>108</x:v>
      </x:c>
      <x:c r="D18" s="68" t="s">
        <x:v>28</x:v>
      </x:c>
      <x:c r="E18" s="68">
        <x:v>227</x:v>
      </x:c>
      <x:c r="F18" s="68">
        <x:v>283</x:v>
      </x:c>
      <x:c r="G18" s="88">
        <x:f t="shared" si="5"/>
        <x:v>80.21201413427562</x:v>
      </x:c>
      <x:c r="H18" s="68">
        <x:v>233</x:v>
      </x:c>
      <x:c r="I18" s="68">
        <x:v>50</x:v>
      </x:c>
      <x:c r="J18" s="68">
        <x:v>56</x:v>
      </x:c>
      <x:c r="K18" s="68">
        <x:v>61</x:v>
      </x:c>
      <x:c r="L18" s="88">
        <x:f t="shared" si="6"/>
        <x:v>82.332155477031804</x:v>
      </x:c>
      <x:c r="M18" s="88">
        <x:f t="shared" si="7"/>
        <x:v>52.136752136752143</x:v>
      </x:c>
      <x:c r="N18" s="88">
        <x:f t="shared" si="8"/>
        <x:v>73.5</x:v>
      </x:c>
      <x:c r="O18" s="68">
        <x:v>263</x:v>
      </x:c>
      <x:c r="P18" s="88">
        <x:f t="shared" si="9"/>
        <x:v>65.75</x:v>
      </x:c>
      <x:c r="Q18" s="89" t="n">
        <x:f>'Cost inputs'!M20</x:f>
        <x:v>0.4796484</x:v>
      </x:c>
      <x:c r="R18" s="89" t="n">
        <x:f>'Cost inputs'!N20</x:f>
        <x:v>0.23611500000000002</x:v>
      </x:c>
      <x:c r="S18" s="89" t="n">
        <x:f>'Cost inputs'!O20</x:f>
        <x:v>0.7157633999999999</x:v>
      </x:c>
    </x:row>
    <x:row r="19" ht="14.25" customHeight="1">
      <x:c r="A19" s="49" t="s">
        <x:v>64</x:v>
      </x:c>
      <x:c r="B19" s="49" t="s">
        <x:v>66</x:v>
      </x:c>
      <x:c r="C19" s="49" t="s">
        <x:v>110</x:v>
      </x:c>
      <x:c r="D19" s="49" t="s">
        <x:v>32</x:v>
      </x:c>
      <x:c r="E19" s="49">
        <x:v>227</x:v>
      </x:c>
      <x:c r="F19" s="49">
        <x:v>283</x:v>
      </x:c>
      <x:c r="G19" s="52">
        <x:f t="shared" si="5"/>
        <x:v>80.21201413427562</x:v>
      </x:c>
      <x:c r="H19" s="49">
        <x:v>231</x:v>
      </x:c>
      <x:c r="I19" s="49">
        <x:v>52</x:v>
      </x:c>
      <x:c r="J19" s="49">
        <x:v>72</x:v>
      </x:c>
      <x:c r="K19" s="49">
        <x:v>45</x:v>
      </x:c>
      <x:c r="L19" s="52">
        <x:f t="shared" si="6"/>
        <x:v>81.625441696113072</x:v>
      </x:c>
      <x:c r="M19" s="52">
        <x:f t="shared" si="7"/>
        <x:v>38.461538461538467</x:v>
      </x:c>
      <x:c r="N19" s="52">
        <x:f t="shared" si="8"/>
        <x:v>69</x:v>
      </x:c>
      <x:c r="O19" s="49">
        <x:v>246</x:v>
      </x:c>
      <x:c r="P19" s="52">
        <x:f t="shared" si="9"/>
        <x:v>61.5</x:v>
      </x:c>
      <x:c r="Q19" s="55" t="n">
        <x:f>'Cost inputs'!M21</x:f>
        <x:v>3.197656</x:v>
      </x:c>
      <x:c r="R19" s="55" t="n">
        <x:f>'Cost inputs'!N21</x:f>
        <x:v>1.183344</x:v>
      </x:c>
      <x:c r="S19" s="55" t="n">
        <x:f>'Cost inputs'!O21</x:f>
        <x:v>4.381</x:v>
      </x:c>
    </x:row>
    <x:row r="20" ht="14.25" customHeight="1">
      <x:c r="A20" s="49" t="s">
        <x:v>64</x:v>
      </x:c>
      <x:c r="B20" s="49" t="s">
        <x:v>66</x:v>
      </x:c>
      <x:c r="C20" s="49" t="s">
        <x:v>110</x:v>
      </x:c>
      <x:c r="D20" s="49" t="s">
        <x:v>34</x:v>
      </x:c>
      <x:c r="E20" s="49">
        <x:v>239</x:v>
      </x:c>
      <x:c r="F20" s="49">
        <x:v>283</x:v>
      </x:c>
      <x:c r="G20" s="52">
        <x:f t="shared" si="5"/>
        <x:v>84.452296819787989</x:v>
      </x:c>
      <x:c r="H20" s="49">
        <x:v>235</x:v>
      </x:c>
      <x:c r="I20" s="49">
        <x:v>48</x:v>
      </x:c>
      <x:c r="J20" s="49">
        <x:v>65</x:v>
      </x:c>
      <x:c r="K20" s="49">
        <x:v>52</x:v>
      </x:c>
      <x:c r="L20" s="52">
        <x:f t="shared" si="6"/>
        <x:v>83.038869257950537</x:v>
      </x:c>
      <x:c r="M20" s="52">
        <x:f t="shared" si="7"/>
        <x:v>44.444444444444443</x:v>
      </x:c>
      <x:c r="N20" s="52">
        <x:f t="shared" si="8"/>
        <x:v>71.75</x:v>
      </x:c>
      <x:c r="O20" s="49">
        <x:v>263</x:v>
      </x:c>
      <x:c r="P20" s="52">
        <x:f t="shared" si="9"/>
        <x:v>65.75</x:v>
      </x:c>
      <x:c r="Q20" s="55" t="n">
        <x:f>'Cost inputs'!M22</x:f>
        <x:v>3.197656</x:v>
      </x:c>
      <x:c r="R20" s="55" t="n">
        <x:f>'Cost inputs'!N22</x:f>
        <x:v>9.933732</x:v>
      </x:c>
      <x:c r="S20" s="55" t="n">
        <x:f>'Cost inputs'!O22</x:f>
        <x:v>13.131388</x:v>
      </x:c>
    </x:row>
    <x:row r="21" ht="14.25" customHeight="1">
      <x:c r="A21" s="49" t="s">
        <x:v>68</x:v>
      </x:c>
      <x:c r="B21" s="49" t="s">
        <x:v>70</x:v>
      </x:c>
      <x:c r="C21" s="49" t="s">
        <x:v>108</x:v>
      </x:c>
      <x:c r="D21" s="49" t="s">
        <x:v>32</x:v>
      </x:c>
      <x:c r="E21" s="49">
        <x:v>239</x:v>
      </x:c>
      <x:c r="F21" s="49">
        <x:v>283</x:v>
      </x:c>
      <x:c r="G21" s="52">
        <x:f t="shared" si="5"/>
        <x:v>84.452296819787989</x:v>
      </x:c>
      <x:c r="H21" s="49">
        <x:v>237</x:v>
      </x:c>
      <x:c r="I21" s="49">
        <x:v>46</x:v>
      </x:c>
      <x:c r="J21" s="49">
        <x:v>66</x:v>
      </x:c>
      <x:c r="K21" s="49">
        <x:v>51</x:v>
      </x:c>
      <x:c r="L21" s="52">
        <x:f t="shared" si="6"/>
        <x:v>83.745583038869256</x:v>
      </x:c>
      <x:c r="M21" s="52">
        <x:f t="shared" si="7"/>
        <x:v>43.589743589743591</x:v>
      </x:c>
      <x:c r="N21" s="52">
        <x:f t="shared" si="8"/>
        <x:v>72</x:v>
      </x:c>
      <x:c r="O21" s="49">
        <x:v>263</x:v>
      </x:c>
      <x:c r="P21" s="52">
        <x:f t="shared" si="9"/>
        <x:v>65.75</x:v>
      </x:c>
      <x:c r="Q21" s="55" t="n">
        <x:f>'Cost inputs'!M23</x:f>
        <x:v>2.3982419999999998</x:v>
      </x:c>
      <x:c r="R21" s="55" t="n">
        <x:f>'Cost inputs'!N23</x:f>
        <x:v>1.369785</x:v>
      </x:c>
      <x:c r="S21" s="55" t="n">
        <x:f>'Cost inputs'!O23</x:f>
        <x:v>3.768027</x:v>
      </x:c>
    </x:row>
    <x:row r="22" ht="14.25" customHeight="1">
      <x:c r="A22" s="50" t="s">
        <x:v>68</x:v>
      </x:c>
      <x:c r="B22" s="50" t="s">
        <x:v>70</x:v>
      </x:c>
      <x:c r="C22" s="50" t="s">
        <x:v>108</x:v>
      </x:c>
      <x:c r="D22" s="50" t="s">
        <x:v>34</x:v>
      </x:c>
      <x:c r="E22" s="50">
        <x:v>245</x:v>
      </x:c>
      <x:c r="F22" s="50">
        <x:v>283</x:v>
      </x:c>
      <x:c r="G22" s="90">
        <x:f t="shared" si="5"/>
        <x:v>86.572438162544174</x:v>
      </x:c>
      <x:c r="H22" s="69">
        <x:v>244</x:v>
      </x:c>
      <x:c r="I22" s="69">
        <x:v>39</x:v>
      </x:c>
      <x:c r="J22" s="69">
        <x:v>62</x:v>
      </x:c>
      <x:c r="K22" s="69">
        <x:v>55</x:v>
      </x:c>
      <x:c r="L22" s="90">
        <x:f t="shared" si="6"/>
        <x:v>86.219081272084807</x:v>
      </x:c>
      <x:c r="M22" s="90">
        <x:f t="shared" si="7"/>
        <x:v>47.008547008547005</x:v>
      </x:c>
      <x:c r="N22" s="90">
        <x:f t="shared" si="8"/>
        <x:v>74.75</x:v>
      </x:c>
      <x:c r="O22" s="69">
        <x:v>272</x:v>
      </x:c>
      <x:c r="P22" s="90">
        <x:f t="shared" si="9"/>
        <x:v>68</x:v>
      </x:c>
      <x:c r="Q22" s="56" t="n">
        <x:f>'Cost inputs'!M24</x:f>
        <x:v>2.3982419999999998</x:v>
      </x:c>
      <x:c r="R22" s="56" t="n">
        <x:f>'Cost inputs'!N24</x:f>
        <x:v>11.179635</x:v>
      </x:c>
      <x:c r="S22" s="56" t="n">
        <x:f>'Cost inputs'!O24</x:f>
        <x:v>13.577876999999999</x:v>
      </x:c>
    </x:row>
  </x:sheetData>
  <x:mergeCells>
    <x:mergeCell ref="A1:S1"/>
  </x:mergeCells>
  <x:pageMargins left="0.7" right="0.7" top="0.75" bottom="0.75" header="0.3" footer="0.3"/>
  <x:tableParts count="1">
    <x:tablePart xmlns:r="http://schemas.openxmlformats.org/officeDocument/2006/relationships" r:id="R9a71c6d083c7448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2" customWidth="1"/>
    <x:col min="2" max="3" width="24" customWidth="1"/>
    <x:col min="4" max="5" width="18" customWidth="1"/>
    <x:col min="6" max="6" width="12" customWidth="1"/>
    <x:col min="7" max="7" width="10" customWidth="1"/>
    <x:col min="8" max="11" width="8" customWidth="1"/>
    <x:col min="12" max="12" width="13" customWidth="1"/>
    <x:col min="13" max="13" width="14" customWidth="1"/>
    <x:col min="14" max="14" width="16" customWidth="1"/>
  </x:cols>
  <x:sheetData>
    <x:row r="1" ht="16.700000762939453" customHeight="1">
      <x:c r="A1" s="181" t="s">
        <x:v>146</x:v>
      </x:c>
      <x:c r="B1" s="181" t="s">
        <x:v>146</x:v>
      </x:c>
      <x:c r="C1" s="181" t="s">
        <x:v>146</x:v>
      </x:c>
      <x:c r="D1" s="181" t="s">
        <x:v>146</x:v>
      </x:c>
      <x:c r="E1" s="181" t="s">
        <x:v>146</x:v>
      </x:c>
      <x:c r="F1" s="181" t="s">
        <x:v>146</x:v>
      </x:c>
      <x:c r="G1" s="181" t="s">
        <x:v>146</x:v>
      </x:c>
      <x:c r="H1" s="181" t="s">
        <x:v>146</x:v>
      </x:c>
      <x:c r="I1" s="181" t="s">
        <x:v>146</x:v>
      </x:c>
      <x:c r="J1" s="181" t="s">
        <x:v>146</x:v>
      </x:c>
      <x:c r="K1" s="181" t="s">
        <x:v>146</x:v>
      </x:c>
      <x:c r="L1" s="181" t="s">
        <x:v>146</x:v>
      </x:c>
      <x:c r="M1" s="181" t="s">
        <x:v>146</x:v>
      </x:c>
      <x:c r="N1" s="181" t="s">
        <x:v>146</x:v>
      </x:c>
    </x:row>
    <x:row r="2" ht="14.25" customHeight="1"/>
    <x:row r="3" ht="24" customHeight="1">
      <x:c r="A3" s="1" t="s">
        <x:v>3</x:v>
      </x:c>
      <x:c r="B3" s="2" t="s">
        <x:v>5</x:v>
      </x:c>
      <x:c r="C3" s="2" t="s">
        <x:v>147</x:v>
      </x:c>
      <x:c r="D3" s="2" t="s">
        <x:v>6</x:v>
      </x:c>
      <x:c r="E3" s="2" t="s">
        <x:v>118</x:v>
      </x:c>
      <x:c r="F3" s="2" t="s">
        <x:v>148</x:v>
      </x:c>
      <x:c r="G3" s="2" t="s">
        <x:v>149</x:v>
      </x:c>
      <x:c r="H3" s="2" t="s">
        <x:v>137</x:v>
      </x:c>
      <x:c r="I3" s="2" t="s">
        <x:v>138</x:v>
      </x:c>
      <x:c r="J3" s="2" t="s">
        <x:v>139</x:v>
      </x:c>
      <x:c r="K3" s="2" t="s">
        <x:v>140</x:v>
      </x:c>
      <x:c r="L3" s="2" t="s">
        <x:v>141</x:v>
      </x:c>
      <x:c r="M3" s="2" t="s">
        <x:v>142</x:v>
      </x:c>
      <x:c r="N3" s="3" t="s">
        <x:v>143</x:v>
      </x:c>
    </x:row>
    <x:row r="4" ht="14.25" customHeight="1">
      <x:c r="A4" s="131" t="s">
        <x:v>25</x:v>
      </x:c>
      <x:c r="B4" s="131" t="s">
        <x:v>27</x:v>
      </x:c>
      <x:c r="C4" s="131" t="s">
        <x:v>89</x:v>
      </x:c>
      <x:c r="D4" s="131" t="s">
        <x:v>28</x:v>
      </x:c>
      <x:c r="E4" s="132" t="s">
        <x:v>127</x:v>
      </x:c>
      <x:c r="F4" s="133">
        <x:v>283</x:v>
      </x:c>
      <x:c r="G4" s="133">
        <x:v>117</x:v>
      </x:c>
      <x:c r="H4" s="133">
        <x:v>236</x:v>
      </x:c>
      <x:c r="I4" s="133">
        <x:v>47</x:v>
      </x:c>
      <x:c r="J4" s="133">
        <x:v>63</x:v>
      </x:c>
      <x:c r="K4" s="133">
        <x:v>54</x:v>
      </x:c>
      <x:c r="L4" s="134">
        <x:v>83.392200000000003</x:v>
      </x:c>
      <x:c r="M4" s="135">
        <x:v>46.153800000000004</x:v>
      </x:c>
      <x:c r="N4" s="135">
        <x:v>72.5</x:v>
      </x:c>
    </x:row>
    <x:row r="5" ht="14.25" customHeight="1">
      <x:c r="A5" s="136" t="s">
        <x:v>25</x:v>
      </x:c>
      <x:c r="B5" s="136" t="s">
        <x:v>27</x:v>
      </x:c>
      <x:c r="C5" s="136" t="s">
        <x:v>89</x:v>
      </x:c>
      <x:c r="D5" s="136" t="s">
        <x:v>28</x:v>
      </x:c>
      <x:c r="E5" s="136" t="s">
        <x:v>128</x:v>
      </x:c>
      <x:c r="F5" s="137">
        <x:v>283</x:v>
      </x:c>
      <x:c r="G5" s="137">
        <x:v>117</x:v>
      </x:c>
      <x:c r="H5" s="137">
        <x:v>236</x:v>
      </x:c>
      <x:c r="I5" s="137">
        <x:v>47</x:v>
      </x:c>
      <x:c r="J5" s="137">
        <x:v>85</x:v>
      </x:c>
      <x:c r="K5" s="137">
        <x:v>32</x:v>
      </x:c>
      <x:c r="L5" s="138">
        <x:v>83.392200000000003</x:v>
      </x:c>
      <x:c r="M5" s="138">
        <x:v>27.350400000000004</x:v>
      </x:c>
      <x:c r="N5" s="138">
        <x:v>67</x:v>
      </x:c>
    </x:row>
    <x:row r="6" ht="14.25" customHeight="1">
      <x:c r="A6" s="139" t="s">
        <x:v>25</x:v>
      </x:c>
      <x:c r="B6" s="139" t="s">
        <x:v>27</x:v>
      </x:c>
      <x:c r="C6" s="139" t="s">
        <x:v>89</x:v>
      </x:c>
      <x:c r="D6" s="139" t="s">
        <x:v>28</x:v>
      </x:c>
      <x:c r="E6" s="139" t="s">
        <x:v>129</x:v>
      </x:c>
      <x:c r="F6" s="140">
        <x:v>283</x:v>
      </x:c>
      <x:c r="G6" s="140">
        <x:v>117</x:v>
      </x:c>
      <x:c r="H6" s="140">
        <x:v>242</x:v>
      </x:c>
      <x:c r="I6" s="140">
        <x:v>41</x:v>
      </x:c>
      <x:c r="J6" s="140">
        <x:v>113</x:v>
      </x:c>
      <x:c r="K6" s="140">
        <x:v>4</x:v>
      </x:c>
      <x:c r="L6" s="141">
        <x:v>85.5124</x:v>
      </x:c>
      <x:c r="M6" s="141">
        <x:v>3.4188000000000005</x:v>
      </x:c>
      <x:c r="N6" s="141">
        <x:v>61.5</x:v>
      </x:c>
    </x:row>
    <x:row r="7" ht="14.25" customHeight="1">
      <x:c r="A7" s="136" t="s">
        <x:v>25</x:v>
      </x:c>
      <x:c r="B7" s="136" t="s">
        <x:v>27</x:v>
      </x:c>
      <x:c r="C7" s="136" t="s">
        <x:v>89</x:v>
      </x:c>
      <x:c r="D7" s="136" t="s">
        <x:v>28</x:v>
      </x:c>
      <x:c r="E7" s="136" t="s">
        <x:v>130</x:v>
      </x:c>
      <x:c r="F7" s="137">
        <x:v>283</x:v>
      </x:c>
      <x:c r="G7" s="137">
        <x:v>117</x:v>
      </x:c>
      <x:c r="H7" s="137">
        <x:v>233</x:v>
      </x:c>
      <x:c r="I7" s="137">
        <x:v>50</x:v>
      </x:c>
      <x:c r="J7" s="137">
        <x:v>82</x:v>
      </x:c>
      <x:c r="K7" s="137">
        <x:v>35</x:v>
      </x:c>
      <x:c r="L7" s="138">
        <x:v>82.3322</x:v>
      </x:c>
      <x:c r="M7" s="138">
        <x:v>29.9145</x:v>
      </x:c>
      <x:c r="N7" s="138">
        <x:v>67</x:v>
      </x:c>
    </x:row>
    <x:row r="8" ht="14.25" customHeight="1">
      <x:c r="A8" s="139" t="s">
        <x:v>25</x:v>
      </x:c>
      <x:c r="B8" s="139" t="s">
        <x:v>27</x:v>
      </x:c>
      <x:c r="C8" s="139" t="s">
        <x:v>89</x:v>
      </x:c>
      <x:c r="D8" s="139" t="s">
        <x:v>28</x:v>
      </x:c>
      <x:c r="E8" s="139" t="s">
        <x:v>131</x:v>
      </x:c>
      <x:c r="F8" s="140">
        <x:v>283</x:v>
      </x:c>
      <x:c r="G8" s="140">
        <x:v>117</x:v>
      </x:c>
      <x:c r="H8" s="140">
        <x:v>193</x:v>
      </x:c>
      <x:c r="I8" s="140">
        <x:v>90</x:v>
      </x:c>
      <x:c r="J8" s="140">
        <x:v>106</x:v>
      </x:c>
      <x:c r="K8" s="140">
        <x:v>11</x:v>
      </x:c>
      <x:c r="L8" s="141">
        <x:v>68.197900000000004</x:v>
      </x:c>
      <x:c r="M8" s="141">
        <x:v>9.4016999999999999</x:v>
      </x:c>
      <x:c r="N8" s="141">
        <x:v>51</x:v>
      </x:c>
    </x:row>
    <x:row r="9" ht="14.25" customHeight="1">
      <x:c r="A9" s="136" t="s">
        <x:v>25</x:v>
      </x:c>
      <x:c r="B9" s="136" t="s">
        <x:v>27</x:v>
      </x:c>
      <x:c r="C9" s="136" t="s">
        <x:v>89</x:v>
      </x:c>
      <x:c r="D9" s="136" t="s">
        <x:v>32</x:v>
      </x:c>
      <x:c r="E9" s="142" t="s">
        <x:v>127</x:v>
      </x:c>
      <x:c r="F9" s="137">
        <x:v>283</x:v>
      </x:c>
      <x:c r="G9" s="137">
        <x:v>117</x:v>
      </x:c>
      <x:c r="H9" s="137">
        <x:v>234</x:v>
      </x:c>
      <x:c r="I9" s="137">
        <x:v>49</x:v>
      </x:c>
      <x:c r="J9" s="137">
        <x:v>69</x:v>
      </x:c>
      <x:c r="K9" s="137">
        <x:v>48</x:v>
      </x:c>
      <x:c r="L9" s="138">
        <x:v>82.685500000000005</x:v>
      </x:c>
      <x:c r="M9" s="138">
        <x:v>41.025600000000004</x:v>
      </x:c>
      <x:c r="N9" s="138">
        <x:v>70.5</x:v>
      </x:c>
    </x:row>
    <x:row r="10" ht="14.25" customHeight="1">
      <x:c r="A10" s="139" t="s">
        <x:v>25</x:v>
      </x:c>
      <x:c r="B10" s="139" t="s">
        <x:v>27</x:v>
      </x:c>
      <x:c r="C10" s="139" t="s">
        <x:v>89</x:v>
      </x:c>
      <x:c r="D10" s="139" t="s">
        <x:v>32</x:v>
      </x:c>
      <x:c r="E10" s="139" t="s">
        <x:v>128</x:v>
      </x:c>
      <x:c r="F10" s="140">
        <x:v>283</x:v>
      </x:c>
      <x:c r="G10" s="140">
        <x:v>117</x:v>
      </x:c>
      <x:c r="H10" s="140">
        <x:v>237</x:v>
      </x:c>
      <x:c r="I10" s="140">
        <x:v>46</x:v>
      </x:c>
      <x:c r="J10" s="140">
        <x:v>82</x:v>
      </x:c>
      <x:c r="K10" s="140">
        <x:v>35</x:v>
      </x:c>
      <x:c r="L10" s="141">
        <x:v>83.745599999999996</x:v>
      </x:c>
      <x:c r="M10" s="141">
        <x:v>29.9145</x:v>
      </x:c>
      <x:c r="N10" s="141">
        <x:v>68</x:v>
      </x:c>
    </x:row>
    <x:row r="11" ht="14.25" customHeight="1">
      <x:c r="A11" s="136" t="s">
        <x:v>25</x:v>
      </x:c>
      <x:c r="B11" s="136" t="s">
        <x:v>27</x:v>
      </x:c>
      <x:c r="C11" s="136" t="s">
        <x:v>89</x:v>
      </x:c>
      <x:c r="D11" s="136" t="s">
        <x:v>32</x:v>
      </x:c>
      <x:c r="E11" s="136" t="s">
        <x:v>129</x:v>
      </x:c>
      <x:c r="F11" s="137">
        <x:v>283</x:v>
      </x:c>
      <x:c r="G11" s="137">
        <x:v>117</x:v>
      </x:c>
      <x:c r="H11" s="137">
        <x:v>243</x:v>
      </x:c>
      <x:c r="I11" s="137">
        <x:v>40</x:v>
      </x:c>
      <x:c r="J11" s="137">
        <x:v>112</x:v>
      </x:c>
      <x:c r="K11" s="137">
        <x:v>5</x:v>
      </x:c>
      <x:c r="L11" s="138">
        <x:v>85.865700000000004</x:v>
      </x:c>
      <x:c r="M11" s="138">
        <x:v>4.2735000000000003</x:v>
      </x:c>
      <x:c r="N11" s="138">
        <x:v>62</x:v>
      </x:c>
    </x:row>
    <x:row r="12" ht="14.25" customHeight="1">
      <x:c r="A12" s="139" t="s">
        <x:v>25</x:v>
      </x:c>
      <x:c r="B12" s="139" t="s">
        <x:v>27</x:v>
      </x:c>
      <x:c r="C12" s="139" t="s">
        <x:v>89</x:v>
      </x:c>
      <x:c r="D12" s="139" t="s">
        <x:v>32</x:v>
      </x:c>
      <x:c r="E12" s="139" t="s">
        <x:v>130</x:v>
      </x:c>
      <x:c r="F12" s="140">
        <x:v>283</x:v>
      </x:c>
      <x:c r="G12" s="140">
        <x:v>117</x:v>
      </x:c>
      <x:c r="H12" s="140">
        <x:v>235</x:v>
      </x:c>
      <x:c r="I12" s="140">
        <x:v>48</x:v>
      </x:c>
      <x:c r="J12" s="140">
        <x:v>77</x:v>
      </x:c>
      <x:c r="K12" s="140">
        <x:v>40</x:v>
      </x:c>
      <x:c r="L12" s="141">
        <x:v>83.038899999999998</x:v>
      </x:c>
      <x:c r="M12" s="141">
        <x:v>34.188000000000002</x:v>
      </x:c>
      <x:c r="N12" s="141">
        <x:v>68.75</x:v>
      </x:c>
    </x:row>
    <x:row r="13" ht="14.25" customHeight="1">
      <x:c r="A13" s="136" t="s">
        <x:v>25</x:v>
      </x:c>
      <x:c r="B13" s="136" t="s">
        <x:v>27</x:v>
      </x:c>
      <x:c r="C13" s="136" t="s">
        <x:v>89</x:v>
      </x:c>
      <x:c r="D13" s="136" t="s">
        <x:v>32</x:v>
      </x:c>
      <x:c r="E13" s="136" t="s">
        <x:v>131</x:v>
      </x:c>
      <x:c r="F13" s="137">
        <x:v>283</x:v>
      </x:c>
      <x:c r="G13" s="137">
        <x:v>117</x:v>
      </x:c>
      <x:c r="H13" s="137">
        <x:v>195</x:v>
      </x:c>
      <x:c r="I13" s="137">
        <x:v>88</x:v>
      </x:c>
      <x:c r="J13" s="137">
        <x:v>106</x:v>
      </x:c>
      <x:c r="K13" s="137">
        <x:v>11</x:v>
      </x:c>
      <x:c r="L13" s="138">
        <x:v>68.904600000000002</x:v>
      </x:c>
      <x:c r="M13" s="138">
        <x:v>9.4016999999999999</x:v>
      </x:c>
      <x:c r="N13" s="138">
        <x:v>51.5</x:v>
      </x:c>
    </x:row>
    <x:row r="14" ht="14.25" customHeight="1">
      <x:c r="A14" s="139" t="s">
        <x:v>25</x:v>
      </x:c>
      <x:c r="B14" s="139" t="s">
        <x:v>27</x:v>
      </x:c>
      <x:c r="C14" s="139" t="s">
        <x:v>89</x:v>
      </x:c>
      <x:c r="D14" s="139" t="s">
        <x:v>34</x:v>
      </x:c>
      <x:c r="E14" s="143" t="s">
        <x:v>127</x:v>
      </x:c>
      <x:c r="F14" s="140">
        <x:v>283</x:v>
      </x:c>
      <x:c r="G14" s="140">
        <x:v>117</x:v>
      </x:c>
      <x:c r="H14" s="140">
        <x:v>226</x:v>
      </x:c>
      <x:c r="I14" s="140">
        <x:v>57</x:v>
      </x:c>
      <x:c r="J14" s="140">
        <x:v>68</x:v>
      </x:c>
      <x:c r="K14" s="140">
        <x:v>49</x:v>
      </x:c>
      <x:c r="L14" s="141">
        <x:v>79.858699999999999</x:v>
      </x:c>
      <x:c r="M14" s="141">
        <x:v>41.880299999999998</x:v>
      </x:c>
      <x:c r="N14" s="141">
        <x:v>68.75</x:v>
      </x:c>
    </x:row>
    <x:row r="15" ht="14.25" customHeight="1">
      <x:c r="A15" s="136" t="s">
        <x:v>25</x:v>
      </x:c>
      <x:c r="B15" s="136" t="s">
        <x:v>27</x:v>
      </x:c>
      <x:c r="C15" s="136" t="s">
        <x:v>89</x:v>
      </x:c>
      <x:c r="D15" s="136" t="s">
        <x:v>34</x:v>
      </x:c>
      <x:c r="E15" s="136" t="s">
        <x:v>128</x:v>
      </x:c>
      <x:c r="F15" s="137">
        <x:v>283</x:v>
      </x:c>
      <x:c r="G15" s="137">
        <x:v>117</x:v>
      </x:c>
      <x:c r="H15" s="137">
        <x:v>238</x:v>
      </x:c>
      <x:c r="I15" s="137">
        <x:v>45</x:v>
      </x:c>
      <x:c r="J15" s="137">
        <x:v>85</x:v>
      </x:c>
      <x:c r="K15" s="137">
        <x:v>32</x:v>
      </x:c>
      <x:c r="L15" s="138">
        <x:v>84.0989</x:v>
      </x:c>
      <x:c r="M15" s="138">
        <x:v>27.350400000000004</x:v>
      </x:c>
      <x:c r="N15" s="138">
        <x:v>67.5</x:v>
      </x:c>
    </x:row>
    <x:row r="16" ht="14.25" customHeight="1">
      <x:c r="A16" s="139" t="s">
        <x:v>25</x:v>
      </x:c>
      <x:c r="B16" s="139" t="s">
        <x:v>27</x:v>
      </x:c>
      <x:c r="C16" s="139" t="s">
        <x:v>89</x:v>
      </x:c>
      <x:c r="D16" s="139" t="s">
        <x:v>34</x:v>
      </x:c>
      <x:c r="E16" s="139" t="s">
        <x:v>129</x:v>
      </x:c>
      <x:c r="F16" s="140">
        <x:v>283</x:v>
      </x:c>
      <x:c r="G16" s="140">
        <x:v>117</x:v>
      </x:c>
      <x:c r="H16" s="140">
        <x:v>243</x:v>
      </x:c>
      <x:c r="I16" s="140">
        <x:v>40</x:v>
      </x:c>
      <x:c r="J16" s="140">
        <x:v>113</x:v>
      </x:c>
      <x:c r="K16" s="140">
        <x:v>4</x:v>
      </x:c>
      <x:c r="L16" s="141">
        <x:v>85.865700000000004</x:v>
      </x:c>
      <x:c r="M16" s="141">
        <x:v>3.4188000000000005</x:v>
      </x:c>
      <x:c r="N16" s="141">
        <x:v>61.750000000000007</x:v>
      </x:c>
    </x:row>
    <x:row r="17" ht="14.25" customHeight="1">
      <x:c r="A17" s="136" t="s">
        <x:v>25</x:v>
      </x:c>
      <x:c r="B17" s="136" t="s">
        <x:v>27</x:v>
      </x:c>
      <x:c r="C17" s="136" t="s">
        <x:v>89</x:v>
      </x:c>
      <x:c r="D17" s="136" t="s">
        <x:v>34</x:v>
      </x:c>
      <x:c r="E17" s="136" t="s">
        <x:v>130</x:v>
      </x:c>
      <x:c r="F17" s="137">
        <x:v>283</x:v>
      </x:c>
      <x:c r="G17" s="137">
        <x:v>117</x:v>
      </x:c>
      <x:c r="H17" s="137">
        <x:v>239</x:v>
      </x:c>
      <x:c r="I17" s="137">
        <x:v>44</x:v>
      </x:c>
      <x:c r="J17" s="137">
        <x:v>78</x:v>
      </x:c>
      <x:c r="K17" s="137">
        <x:v>39</x:v>
      </x:c>
      <x:c r="L17" s="138">
        <x:v>84.452300000000008</x:v>
      </x:c>
      <x:c r="M17" s="138">
        <x:v>33.333300000000001</x:v>
      </x:c>
      <x:c r="N17" s="138">
        <x:v>69.5</x:v>
      </x:c>
    </x:row>
    <x:row r="18" ht="14.25" customHeight="1">
      <x:c r="A18" s="139" t="s">
        <x:v>25</x:v>
      </x:c>
      <x:c r="B18" s="139" t="s">
        <x:v>27</x:v>
      </x:c>
      <x:c r="C18" s="139" t="s">
        <x:v>89</x:v>
      </x:c>
      <x:c r="D18" s="139" t="s">
        <x:v>34</x:v>
      </x:c>
      <x:c r="E18" s="139" t="s">
        <x:v>131</x:v>
      </x:c>
      <x:c r="F18" s="140">
        <x:v>283</x:v>
      </x:c>
      <x:c r="G18" s="140">
        <x:v>117</x:v>
      </x:c>
      <x:c r="H18" s="140">
        <x:v>199</x:v>
      </x:c>
      <x:c r="I18" s="140">
        <x:v>84</x:v>
      </x:c>
      <x:c r="J18" s="140">
        <x:v>106</x:v>
      </x:c>
      <x:c r="K18" s="140">
        <x:v>11</x:v>
      </x:c>
      <x:c r="L18" s="141">
        <x:v>70.317999999999998</x:v>
      </x:c>
      <x:c r="M18" s="141">
        <x:v>9.4016999999999999</x:v>
      </x:c>
      <x:c r="N18" s="141">
        <x:v>52.5</x:v>
      </x:c>
    </x:row>
    <x:row r="19" ht="14.25" customHeight="1">
      <x:c r="A19" s="136" t="s">
        <x:v>25</x:v>
      </x:c>
      <x:c r="B19" s="136" t="s">
        <x:v>36</x:v>
      </x:c>
      <x:c r="C19" s="136" t="s">
        <x:v>93</x:v>
      </x:c>
      <x:c r="D19" s="136" t="s">
        <x:v>28</x:v>
      </x:c>
      <x:c r="E19" s="142" t="s">
        <x:v>127</x:v>
      </x:c>
      <x:c r="F19" s="137">
        <x:v>283</x:v>
      </x:c>
      <x:c r="G19" s="137">
        <x:v>117</x:v>
      </x:c>
      <x:c r="H19" s="137">
        <x:v>238</x:v>
      </x:c>
      <x:c r="I19" s="137">
        <x:v>45</x:v>
      </x:c>
      <x:c r="J19" s="137">
        <x:v>69</x:v>
      </x:c>
      <x:c r="K19" s="137">
        <x:v>48</x:v>
      </x:c>
      <x:c r="L19" s="138">
        <x:v>84.0989</x:v>
      </x:c>
      <x:c r="M19" s="138">
        <x:v>41.025600000000004</x:v>
      </x:c>
      <x:c r="N19" s="138">
        <x:v>71.5</x:v>
      </x:c>
    </x:row>
    <x:row r="20" ht="14.25" customHeight="1">
      <x:c r="A20" s="139" t="s">
        <x:v>25</x:v>
      </x:c>
      <x:c r="B20" s="139" t="s">
        <x:v>36</x:v>
      </x:c>
      <x:c r="C20" s="139" t="s">
        <x:v>93</x:v>
      </x:c>
      <x:c r="D20" s="139" t="s">
        <x:v>28</x:v>
      </x:c>
      <x:c r="E20" s="139" t="s">
        <x:v>128</x:v>
      </x:c>
      <x:c r="F20" s="140">
        <x:v>283</x:v>
      </x:c>
      <x:c r="G20" s="140">
        <x:v>117</x:v>
      </x:c>
      <x:c r="H20" s="140">
        <x:v>238</x:v>
      </x:c>
      <x:c r="I20" s="140">
        <x:v>45</x:v>
      </x:c>
      <x:c r="J20" s="140">
        <x:v>79</x:v>
      </x:c>
      <x:c r="K20" s="140">
        <x:v>38</x:v>
      </x:c>
      <x:c r="L20" s="141">
        <x:v>84.0989</x:v>
      </x:c>
      <x:c r="M20" s="141">
        <x:v>32.4786</x:v>
      </x:c>
      <x:c r="N20" s="141">
        <x:v>69</x:v>
      </x:c>
    </x:row>
    <x:row r="21" ht="14.25" customHeight="1">
      <x:c r="A21" s="136" t="s">
        <x:v>25</x:v>
      </x:c>
      <x:c r="B21" s="136" t="s">
        <x:v>36</x:v>
      </x:c>
      <x:c r="C21" s="136" t="s">
        <x:v>93</x:v>
      </x:c>
      <x:c r="D21" s="136" t="s">
        <x:v>28</x:v>
      </x:c>
      <x:c r="E21" s="136" t="s">
        <x:v>129</x:v>
      </x:c>
      <x:c r="F21" s="137">
        <x:v>283</x:v>
      </x:c>
      <x:c r="G21" s="137">
        <x:v>117</x:v>
      </x:c>
      <x:c r="H21" s="137">
        <x:v>238</x:v>
      </x:c>
      <x:c r="I21" s="137">
        <x:v>45</x:v>
      </x:c>
      <x:c r="J21" s="137">
        <x:v>110</x:v>
      </x:c>
      <x:c r="K21" s="137">
        <x:v>7</x:v>
      </x:c>
      <x:c r="L21" s="138">
        <x:v>84.0989</x:v>
      </x:c>
      <x:c r="M21" s="138">
        <x:v>5.9828999999999999</x:v>
      </x:c>
      <x:c r="N21" s="138">
        <x:v>61.250000000000007</x:v>
      </x:c>
    </x:row>
    <x:row r="22" ht="14.25" customHeight="1">
      <x:c r="A22" s="139" t="s">
        <x:v>25</x:v>
      </x:c>
      <x:c r="B22" s="139" t="s">
        <x:v>36</x:v>
      </x:c>
      <x:c r="C22" s="139" t="s">
        <x:v>93</x:v>
      </x:c>
      <x:c r="D22" s="139" t="s">
        <x:v>28</x:v>
      </x:c>
      <x:c r="E22" s="139" t="s">
        <x:v>130</x:v>
      </x:c>
      <x:c r="F22" s="140">
        <x:v>283</x:v>
      </x:c>
      <x:c r="G22" s="140">
        <x:v>117</x:v>
      </x:c>
      <x:c r="H22" s="140">
        <x:v>236</x:v>
      </x:c>
      <x:c r="I22" s="140">
        <x:v>47</x:v>
      </x:c>
      <x:c r="J22" s="140">
        <x:v>81</x:v>
      </x:c>
      <x:c r="K22" s="140">
        <x:v>36</x:v>
      </x:c>
      <x:c r="L22" s="141">
        <x:v>83.392200000000003</x:v>
      </x:c>
      <x:c r="M22" s="141">
        <x:v>30.769200000000001</x:v>
      </x:c>
      <x:c r="N22" s="141">
        <x:v>68</x:v>
      </x:c>
    </x:row>
    <x:row r="23" ht="14.25" customHeight="1">
      <x:c r="A23" s="136" t="s">
        <x:v>25</x:v>
      </x:c>
      <x:c r="B23" s="136" t="s">
        <x:v>36</x:v>
      </x:c>
      <x:c r="C23" s="136" t="s">
        <x:v>93</x:v>
      </x:c>
      <x:c r="D23" s="136" t="s">
        <x:v>28</x:v>
      </x:c>
      <x:c r="E23" s="136" t="s">
        <x:v>131</x:v>
      </x:c>
      <x:c r="F23" s="137">
        <x:v>283</x:v>
      </x:c>
      <x:c r="G23" s="137">
        <x:v>117</x:v>
      </x:c>
      <x:c r="H23" s="137">
        <x:v>201</x:v>
      </x:c>
      <x:c r="I23" s="137">
        <x:v>82</x:v>
      </x:c>
      <x:c r="J23" s="137">
        <x:v>104</x:v>
      </x:c>
      <x:c r="K23" s="137">
        <x:v>13</x:v>
      </x:c>
      <x:c r="L23" s="138">
        <x:v>71.024699999999996</x:v>
      </x:c>
      <x:c r="M23" s="138">
        <x:v>11.1111</x:v>
      </x:c>
      <x:c r="N23" s="138">
        <x:v>53.5</x:v>
      </x:c>
    </x:row>
    <x:row r="24" ht="14.25" customHeight="1">
      <x:c r="A24" s="139" t="s">
        <x:v>25</x:v>
      </x:c>
      <x:c r="B24" s="139" t="s">
        <x:v>36</x:v>
      </x:c>
      <x:c r="C24" s="139" t="s">
        <x:v>93</x:v>
      </x:c>
      <x:c r="D24" s="139" t="s">
        <x:v>32</x:v>
      </x:c>
      <x:c r="E24" s="143" t="s">
        <x:v>127</x:v>
      </x:c>
      <x:c r="F24" s="140">
        <x:v>283</x:v>
      </x:c>
      <x:c r="G24" s="140">
        <x:v>117</x:v>
      </x:c>
      <x:c r="H24" s="140">
        <x:v>240</x:v>
      </x:c>
      <x:c r="I24" s="140">
        <x:v>43</x:v>
      </x:c>
      <x:c r="J24" s="140">
        <x:v>72</x:v>
      </x:c>
      <x:c r="K24" s="140">
        <x:v>45</x:v>
      </x:c>
      <x:c r="L24" s="141">
        <x:v>84.805700000000002</x:v>
      </x:c>
      <x:c r="M24" s="141">
        <x:v>38.461500000000001</x:v>
      </x:c>
      <x:c r="N24" s="141">
        <x:v>71.25</x:v>
      </x:c>
    </x:row>
    <x:row r="25" ht="14.25" customHeight="1">
      <x:c r="A25" s="136" t="s">
        <x:v>25</x:v>
      </x:c>
      <x:c r="B25" s="136" t="s">
        <x:v>36</x:v>
      </x:c>
      <x:c r="C25" s="136" t="s">
        <x:v>93</x:v>
      </x:c>
      <x:c r="D25" s="136" t="s">
        <x:v>32</x:v>
      </x:c>
      <x:c r="E25" s="136" t="s">
        <x:v>128</x:v>
      </x:c>
      <x:c r="F25" s="137">
        <x:v>283</x:v>
      </x:c>
      <x:c r="G25" s="137">
        <x:v>117</x:v>
      </x:c>
      <x:c r="H25" s="137">
        <x:v>235</x:v>
      </x:c>
      <x:c r="I25" s="137">
        <x:v>48</x:v>
      </x:c>
      <x:c r="J25" s="137">
        <x:v>79</x:v>
      </x:c>
      <x:c r="K25" s="137">
        <x:v>38</x:v>
      </x:c>
      <x:c r="L25" s="138">
        <x:v>83.038899999999998</x:v>
      </x:c>
      <x:c r="M25" s="138">
        <x:v>32.4786</x:v>
      </x:c>
      <x:c r="N25" s="138">
        <x:v>68.25</x:v>
      </x:c>
    </x:row>
    <x:row r="26" ht="14.25" customHeight="1">
      <x:c r="A26" s="139" t="s">
        <x:v>25</x:v>
      </x:c>
      <x:c r="B26" s="139" t="s">
        <x:v>36</x:v>
      </x:c>
      <x:c r="C26" s="139" t="s">
        <x:v>93</x:v>
      </x:c>
      <x:c r="D26" s="139" t="s">
        <x:v>32</x:v>
      </x:c>
      <x:c r="E26" s="139" t="s">
        <x:v>129</x:v>
      </x:c>
      <x:c r="F26" s="140">
        <x:v>283</x:v>
      </x:c>
      <x:c r="G26" s="140">
        <x:v>117</x:v>
      </x:c>
      <x:c r="H26" s="140">
        <x:v>240</x:v>
      </x:c>
      <x:c r="I26" s="140">
        <x:v>43</x:v>
      </x:c>
      <x:c r="J26" s="140">
        <x:v>110</x:v>
      </x:c>
      <x:c r="K26" s="140">
        <x:v>7</x:v>
      </x:c>
      <x:c r="L26" s="141">
        <x:v>84.805700000000002</x:v>
      </x:c>
      <x:c r="M26" s="141">
        <x:v>5.9828999999999999</x:v>
      </x:c>
      <x:c r="N26" s="141">
        <x:v>61.750000000000007</x:v>
      </x:c>
    </x:row>
    <x:row r="27" ht="14.25" customHeight="1">
      <x:c r="A27" s="136" t="s">
        <x:v>25</x:v>
      </x:c>
      <x:c r="B27" s="136" t="s">
        <x:v>36</x:v>
      </x:c>
      <x:c r="C27" s="136" t="s">
        <x:v>93</x:v>
      </x:c>
      <x:c r="D27" s="136" t="s">
        <x:v>32</x:v>
      </x:c>
      <x:c r="E27" s="136" t="s">
        <x:v>130</x:v>
      </x:c>
      <x:c r="F27" s="137">
        <x:v>283</x:v>
      </x:c>
      <x:c r="G27" s="137">
        <x:v>117</x:v>
      </x:c>
      <x:c r="H27" s="137">
        <x:v>236</x:v>
      </x:c>
      <x:c r="I27" s="137">
        <x:v>47</x:v>
      </x:c>
      <x:c r="J27" s="137">
        <x:v>78</x:v>
      </x:c>
      <x:c r="K27" s="137">
        <x:v>39</x:v>
      </x:c>
      <x:c r="L27" s="138">
        <x:v>83.392200000000003</x:v>
      </x:c>
      <x:c r="M27" s="138">
        <x:v>33.333300000000001</x:v>
      </x:c>
      <x:c r="N27" s="138">
        <x:v>68.75</x:v>
      </x:c>
    </x:row>
    <x:row r="28" ht="14.25" customHeight="1">
      <x:c r="A28" s="139" t="s">
        <x:v>25</x:v>
      </x:c>
      <x:c r="B28" s="139" t="s">
        <x:v>36</x:v>
      </x:c>
      <x:c r="C28" s="139" t="s">
        <x:v>93</x:v>
      </x:c>
      <x:c r="D28" s="139" t="s">
        <x:v>32</x:v>
      </x:c>
      <x:c r="E28" s="139" t="s">
        <x:v>131</x:v>
      </x:c>
      <x:c r="F28" s="140">
        <x:v>283</x:v>
      </x:c>
      <x:c r="G28" s="140">
        <x:v>117</x:v>
      </x:c>
      <x:c r="H28" s="140">
        <x:v>198</x:v>
      </x:c>
      <x:c r="I28" s="140">
        <x:v>85</x:v>
      </x:c>
      <x:c r="J28" s="140">
        <x:v>106</x:v>
      </x:c>
      <x:c r="K28" s="140">
        <x:v>11</x:v>
      </x:c>
      <x:c r="L28" s="141">
        <x:v>69.964700000000008</x:v>
      </x:c>
      <x:c r="M28" s="141">
        <x:v>9.4016999999999999</x:v>
      </x:c>
      <x:c r="N28" s="141">
        <x:v>52.25</x:v>
      </x:c>
    </x:row>
    <x:row r="29" ht="14.25" customHeight="1">
      <x:c r="A29" s="136" t="s">
        <x:v>25</x:v>
      </x:c>
      <x:c r="B29" s="136" t="s">
        <x:v>36</x:v>
      </x:c>
      <x:c r="C29" s="136" t="s">
        <x:v>93</x:v>
      </x:c>
      <x:c r="D29" s="136" t="s">
        <x:v>34</x:v>
      </x:c>
      <x:c r="E29" s="142" t="s">
        <x:v>127</x:v>
      </x:c>
      <x:c r="F29" s="137">
        <x:v>283</x:v>
      </x:c>
      <x:c r="G29" s="137">
        <x:v>117</x:v>
      </x:c>
      <x:c r="H29" s="137">
        <x:v>239</x:v>
      </x:c>
      <x:c r="I29" s="137">
        <x:v>44</x:v>
      </x:c>
      <x:c r="J29" s="137">
        <x:v>69</x:v>
      </x:c>
      <x:c r="K29" s="137">
        <x:v>48</x:v>
      </x:c>
      <x:c r="L29" s="138">
        <x:v>84.452300000000008</x:v>
      </x:c>
      <x:c r="M29" s="138">
        <x:v>41.025600000000004</x:v>
      </x:c>
      <x:c r="N29" s="138">
        <x:v>71.75</x:v>
      </x:c>
    </x:row>
    <x:row r="30" ht="14.25" customHeight="1">
      <x:c r="A30" s="139" t="s">
        <x:v>25</x:v>
      </x:c>
      <x:c r="B30" s="139" t="s">
        <x:v>36</x:v>
      </x:c>
      <x:c r="C30" s="139" t="s">
        <x:v>93</x:v>
      </x:c>
      <x:c r="D30" s="139" t="s">
        <x:v>34</x:v>
      </x:c>
      <x:c r="E30" s="139" t="s">
        <x:v>128</x:v>
      </x:c>
      <x:c r="F30" s="140">
        <x:v>283</x:v>
      </x:c>
      <x:c r="G30" s="140">
        <x:v>117</x:v>
      </x:c>
      <x:c r="H30" s="140">
        <x:v>236</x:v>
      </x:c>
      <x:c r="I30" s="140">
        <x:v>47</x:v>
      </x:c>
      <x:c r="J30" s="140">
        <x:v>80</x:v>
      </x:c>
      <x:c r="K30" s="140">
        <x:v>37</x:v>
      </x:c>
      <x:c r="L30" s="141">
        <x:v>83.392200000000003</x:v>
      </x:c>
      <x:c r="M30" s="141">
        <x:v>31.623899999999999</x:v>
      </x:c>
      <x:c r="N30" s="141">
        <x:v>68.25</x:v>
      </x:c>
    </x:row>
    <x:row r="31" ht="14.25" customHeight="1">
      <x:c r="A31" s="136" t="s">
        <x:v>25</x:v>
      </x:c>
      <x:c r="B31" s="136" t="s">
        <x:v>36</x:v>
      </x:c>
      <x:c r="C31" s="136" t="s">
        <x:v>93</x:v>
      </x:c>
      <x:c r="D31" s="136" t="s">
        <x:v>34</x:v>
      </x:c>
      <x:c r="E31" s="136" t="s">
        <x:v>129</x:v>
      </x:c>
      <x:c r="F31" s="137">
        <x:v>283</x:v>
      </x:c>
      <x:c r="G31" s="137">
        <x:v>117</x:v>
      </x:c>
      <x:c r="H31" s="137">
        <x:v>238</x:v>
      </x:c>
      <x:c r="I31" s="137">
        <x:v>45</x:v>
      </x:c>
      <x:c r="J31" s="137">
        <x:v>111</x:v>
      </x:c>
      <x:c r="K31" s="137">
        <x:v>6</x:v>
      </x:c>
      <x:c r="L31" s="138">
        <x:v>84.0989</x:v>
      </x:c>
      <x:c r="M31" s="138">
        <x:v>5.1282000000000005</x:v>
      </x:c>
      <x:c r="N31" s="138">
        <x:v>61</x:v>
      </x:c>
    </x:row>
    <x:row r="32" ht="14.25" customHeight="1">
      <x:c r="A32" s="139" t="s">
        <x:v>25</x:v>
      </x:c>
      <x:c r="B32" s="139" t="s">
        <x:v>36</x:v>
      </x:c>
      <x:c r="C32" s="139" t="s">
        <x:v>93</x:v>
      </x:c>
      <x:c r="D32" s="139" t="s">
        <x:v>34</x:v>
      </x:c>
      <x:c r="E32" s="139" t="s">
        <x:v>130</x:v>
      </x:c>
      <x:c r="F32" s="140">
        <x:v>283</x:v>
      </x:c>
      <x:c r="G32" s="140">
        <x:v>117</x:v>
      </x:c>
      <x:c r="H32" s="140">
        <x:v>238</x:v>
      </x:c>
      <x:c r="I32" s="140">
        <x:v>45</x:v>
      </x:c>
      <x:c r="J32" s="140">
        <x:v>79</x:v>
      </x:c>
      <x:c r="K32" s="140">
        <x:v>38</x:v>
      </x:c>
      <x:c r="L32" s="141">
        <x:v>84.0989</x:v>
      </x:c>
      <x:c r="M32" s="141">
        <x:v>32.4786</x:v>
      </x:c>
      <x:c r="N32" s="141">
        <x:v>69</x:v>
      </x:c>
    </x:row>
    <x:row r="33" ht="14.25" customHeight="1">
      <x:c r="A33" s="136" t="s">
        <x:v>25</x:v>
      </x:c>
      <x:c r="B33" s="136" t="s">
        <x:v>36</x:v>
      </x:c>
      <x:c r="C33" s="136" t="s">
        <x:v>93</x:v>
      </x:c>
      <x:c r="D33" s="136" t="s">
        <x:v>34</x:v>
      </x:c>
      <x:c r="E33" s="136" t="s">
        <x:v>131</x:v>
      </x:c>
      <x:c r="F33" s="137">
        <x:v>283</x:v>
      </x:c>
      <x:c r="G33" s="137">
        <x:v>117</x:v>
      </x:c>
      <x:c r="H33" s="137">
        <x:v>201</x:v>
      </x:c>
      <x:c r="I33" s="137">
        <x:v>82</x:v>
      </x:c>
      <x:c r="J33" s="137">
        <x:v>105</x:v>
      </x:c>
      <x:c r="K33" s="137">
        <x:v>12</x:v>
      </x:c>
      <x:c r="L33" s="138">
        <x:v>71.024699999999996</x:v>
      </x:c>
      <x:c r="M33" s="138">
        <x:v>10.256400000000001</x:v>
      </x:c>
      <x:c r="N33" s="138">
        <x:v>53.25</x:v>
      </x:c>
    </x:row>
    <x:row r="34" ht="14.25" customHeight="1">
      <x:c r="A34" s="139" t="s">
        <x:v>39</x:v>
      </x:c>
      <x:c r="B34" s="139" t="s">
        <x:v>41</x:v>
      </x:c>
      <x:c r="C34" s="139" t="s">
        <x:v>97</x:v>
      </x:c>
      <x:c r="D34" s="139" t="s">
        <x:v>28</x:v>
      </x:c>
      <x:c r="E34" s="143" t="s">
        <x:v>127</x:v>
      </x:c>
      <x:c r="F34" s="140">
        <x:v>283</x:v>
      </x:c>
      <x:c r="G34" s="140">
        <x:v>117</x:v>
      </x:c>
      <x:c r="H34" s="140">
        <x:v>237</x:v>
      </x:c>
      <x:c r="I34" s="140">
        <x:v>46</x:v>
      </x:c>
      <x:c r="J34" s="140">
        <x:v>69</x:v>
      </x:c>
      <x:c r="K34" s="140">
        <x:v>48</x:v>
      </x:c>
      <x:c r="L34" s="141">
        <x:v>83.745599999999996</x:v>
      </x:c>
      <x:c r="M34" s="141">
        <x:v>41.025600000000004</x:v>
      </x:c>
      <x:c r="N34" s="141">
        <x:v>71.25</x:v>
      </x:c>
    </x:row>
    <x:row r="35" ht="14.25" customHeight="1">
      <x:c r="A35" s="136" t="s">
        <x:v>39</x:v>
      </x:c>
      <x:c r="B35" s="136" t="s">
        <x:v>41</x:v>
      </x:c>
      <x:c r="C35" s="136" t="s">
        <x:v>97</x:v>
      </x:c>
      <x:c r="D35" s="136" t="s">
        <x:v>28</x:v>
      </x:c>
      <x:c r="E35" s="136" t="s">
        <x:v>128</x:v>
      </x:c>
      <x:c r="F35" s="137">
        <x:v>283</x:v>
      </x:c>
      <x:c r="G35" s="137">
        <x:v>117</x:v>
      </x:c>
      <x:c r="H35" s="137">
        <x:v>238</x:v>
      </x:c>
      <x:c r="I35" s="137">
        <x:v>45</x:v>
      </x:c>
      <x:c r="J35" s="137">
        <x:v>81</x:v>
      </x:c>
      <x:c r="K35" s="137">
        <x:v>36</x:v>
      </x:c>
      <x:c r="L35" s="138">
        <x:v>84.0989</x:v>
      </x:c>
      <x:c r="M35" s="138">
        <x:v>30.769200000000001</x:v>
      </x:c>
      <x:c r="N35" s="138">
        <x:v>68.5</x:v>
      </x:c>
    </x:row>
    <x:row r="36" ht="14.25" customHeight="1">
      <x:c r="A36" s="139" t="s">
        <x:v>39</x:v>
      </x:c>
      <x:c r="B36" s="139" t="s">
        <x:v>41</x:v>
      </x:c>
      <x:c r="C36" s="139" t="s">
        <x:v>97</x:v>
      </x:c>
      <x:c r="D36" s="139" t="s">
        <x:v>28</x:v>
      </x:c>
      <x:c r="E36" s="139" t="s">
        <x:v>129</x:v>
      </x:c>
      <x:c r="F36" s="140">
        <x:v>283</x:v>
      </x:c>
      <x:c r="G36" s="140">
        <x:v>117</x:v>
      </x:c>
      <x:c r="H36" s="140">
        <x:v>239</x:v>
      </x:c>
      <x:c r="I36" s="140">
        <x:v>44</x:v>
      </x:c>
      <x:c r="J36" s="140">
        <x:v>113</x:v>
      </x:c>
      <x:c r="K36" s="140">
        <x:v>4</x:v>
      </x:c>
      <x:c r="L36" s="141">
        <x:v>84.452300000000008</x:v>
      </x:c>
      <x:c r="M36" s="141">
        <x:v>3.4188000000000005</x:v>
      </x:c>
      <x:c r="N36" s="141">
        <x:v>60.750000000000007</x:v>
      </x:c>
    </x:row>
    <x:row r="37" ht="14.25" customHeight="1">
      <x:c r="A37" s="136" t="s">
        <x:v>39</x:v>
      </x:c>
      <x:c r="B37" s="136" t="s">
        <x:v>41</x:v>
      </x:c>
      <x:c r="C37" s="136" t="s">
        <x:v>97</x:v>
      </x:c>
      <x:c r="D37" s="136" t="s">
        <x:v>28</x:v>
      </x:c>
      <x:c r="E37" s="136" t="s">
        <x:v>130</x:v>
      </x:c>
      <x:c r="F37" s="137">
        <x:v>283</x:v>
      </x:c>
      <x:c r="G37" s="137">
        <x:v>117</x:v>
      </x:c>
      <x:c r="H37" s="137">
        <x:v>230</x:v>
      </x:c>
      <x:c r="I37" s="137">
        <x:v>53</x:v>
      </x:c>
      <x:c r="J37" s="137">
        <x:v>75</x:v>
      </x:c>
      <x:c r="K37" s="137">
        <x:v>42</x:v>
      </x:c>
      <x:c r="L37" s="138">
        <x:v>81.272100000000009</x:v>
      </x:c>
      <x:c r="M37" s="138">
        <x:v>35.897400000000005</x:v>
      </x:c>
      <x:c r="N37" s="138">
        <x:v>68</x:v>
      </x:c>
    </x:row>
    <x:row r="38" ht="14.25" customHeight="1">
      <x:c r="A38" s="139" t="s">
        <x:v>39</x:v>
      </x:c>
      <x:c r="B38" s="139" t="s">
        <x:v>41</x:v>
      </x:c>
      <x:c r="C38" s="139" t="s">
        <x:v>97</x:v>
      </x:c>
      <x:c r="D38" s="139" t="s">
        <x:v>28</x:v>
      </x:c>
      <x:c r="E38" s="139" t="s">
        <x:v>131</x:v>
      </x:c>
      <x:c r="F38" s="140">
        <x:v>283</x:v>
      </x:c>
      <x:c r="G38" s="140">
        <x:v>117</x:v>
      </x:c>
      <x:c r="H38" s="140">
        <x:v>196</x:v>
      </x:c>
      <x:c r="I38" s="140">
        <x:v>87</x:v>
      </x:c>
      <x:c r="J38" s="140">
        <x:v>101</x:v>
      </x:c>
      <x:c r="K38" s="140">
        <x:v>16</x:v>
      </x:c>
      <x:c r="L38" s="141">
        <x:v>69.257999999999996</x:v>
      </x:c>
      <x:c r="M38" s="141">
        <x:v>13.675200000000002</x:v>
      </x:c>
      <x:c r="N38" s="141">
        <x:v>53</x:v>
      </x:c>
    </x:row>
    <x:row r="39" ht="14.25" customHeight="1">
      <x:c r="A39" s="136" t="s">
        <x:v>39</x:v>
      </x:c>
      <x:c r="B39" s="136" t="s">
        <x:v>45</x:v>
      </x:c>
      <x:c r="C39" s="136" t="s">
        <x:v>99</x:v>
      </x:c>
      <x:c r="D39" s="136" t="s">
        <x:v>28</x:v>
      </x:c>
      <x:c r="E39" s="142" t="s">
        <x:v>127</x:v>
      </x:c>
      <x:c r="F39" s="137">
        <x:v>283</x:v>
      </x:c>
      <x:c r="G39" s="137">
        <x:v>117</x:v>
      </x:c>
      <x:c r="H39" s="137">
        <x:v>245</x:v>
      </x:c>
      <x:c r="I39" s="137">
        <x:v>38</x:v>
      </x:c>
      <x:c r="J39" s="137">
        <x:v>72</x:v>
      </x:c>
      <x:c r="K39" s="137">
        <x:v>45</x:v>
      </x:c>
      <x:c r="L39" s="138">
        <x:v>86.572400000000002</x:v>
      </x:c>
      <x:c r="M39" s="138">
        <x:v>38.461500000000001</x:v>
      </x:c>
      <x:c r="N39" s="138">
        <x:v>72.5</x:v>
      </x:c>
    </x:row>
    <x:row r="40" ht="14.25" customHeight="1">
      <x:c r="A40" s="139" t="s">
        <x:v>39</x:v>
      </x:c>
      <x:c r="B40" s="139" t="s">
        <x:v>45</x:v>
      </x:c>
      <x:c r="C40" s="139" t="s">
        <x:v>99</x:v>
      </x:c>
      <x:c r="D40" s="139" t="s">
        <x:v>28</x:v>
      </x:c>
      <x:c r="E40" s="139" t="s">
        <x:v>128</x:v>
      </x:c>
      <x:c r="F40" s="140">
        <x:v>283</x:v>
      </x:c>
      <x:c r="G40" s="140">
        <x:v>117</x:v>
      </x:c>
      <x:c r="H40" s="140">
        <x:v>238</x:v>
      </x:c>
      <x:c r="I40" s="140">
        <x:v>45</x:v>
      </x:c>
      <x:c r="J40" s="140">
        <x:v>82</x:v>
      </x:c>
      <x:c r="K40" s="140">
        <x:v>35</x:v>
      </x:c>
      <x:c r="L40" s="141">
        <x:v>84.0989</x:v>
      </x:c>
      <x:c r="M40" s="141">
        <x:v>29.9145</x:v>
      </x:c>
      <x:c r="N40" s="141">
        <x:v>68.25</x:v>
      </x:c>
    </x:row>
    <x:row r="41" ht="14.25" customHeight="1">
      <x:c r="A41" s="136" t="s">
        <x:v>39</x:v>
      </x:c>
      <x:c r="B41" s="136" t="s">
        <x:v>45</x:v>
      </x:c>
      <x:c r="C41" s="136" t="s">
        <x:v>99</x:v>
      </x:c>
      <x:c r="D41" s="136" t="s">
        <x:v>28</x:v>
      </x:c>
      <x:c r="E41" s="136" t="s">
        <x:v>129</x:v>
      </x:c>
      <x:c r="F41" s="137">
        <x:v>283</x:v>
      </x:c>
      <x:c r="G41" s="137">
        <x:v>117</x:v>
      </x:c>
      <x:c r="H41" s="137">
        <x:v>237</x:v>
      </x:c>
      <x:c r="I41" s="137">
        <x:v>46</x:v>
      </x:c>
      <x:c r="J41" s="137">
        <x:v>111</x:v>
      </x:c>
      <x:c r="K41" s="137">
        <x:v>6</x:v>
      </x:c>
      <x:c r="L41" s="138">
        <x:v>83.745599999999996</x:v>
      </x:c>
      <x:c r="M41" s="138">
        <x:v>5.1282000000000005</x:v>
      </x:c>
      <x:c r="N41" s="138">
        <x:v>60.750000000000007</x:v>
      </x:c>
    </x:row>
    <x:row r="42" ht="14.25" customHeight="1">
      <x:c r="A42" s="139" t="s">
        <x:v>39</x:v>
      </x:c>
      <x:c r="B42" s="139" t="s">
        <x:v>45</x:v>
      </x:c>
      <x:c r="C42" s="139" t="s">
        <x:v>99</x:v>
      </x:c>
      <x:c r="D42" s="139" t="s">
        <x:v>28</x:v>
      </x:c>
      <x:c r="E42" s="139" t="s">
        <x:v>130</x:v>
      </x:c>
      <x:c r="F42" s="140">
        <x:v>283</x:v>
      </x:c>
      <x:c r="G42" s="140">
        <x:v>117</x:v>
      </x:c>
      <x:c r="H42" s="140">
        <x:v>232</x:v>
      </x:c>
      <x:c r="I42" s="140">
        <x:v>51</x:v>
      </x:c>
      <x:c r="J42" s="140">
        <x:v>76</x:v>
      </x:c>
      <x:c r="K42" s="140">
        <x:v>41</x:v>
      </x:c>
      <x:c r="L42" s="141">
        <x:v>81.978799999999993</x:v>
      </x:c>
      <x:c r="M42" s="141">
        <x:v>35.042699999999996</x:v>
      </x:c>
      <x:c r="N42" s="141">
        <x:v>68.25</x:v>
      </x:c>
    </x:row>
    <x:row r="43" ht="14.25" customHeight="1">
      <x:c r="A43" s="136" t="s">
        <x:v>39</x:v>
      </x:c>
      <x:c r="B43" s="136" t="s">
        <x:v>45</x:v>
      </x:c>
      <x:c r="C43" s="136" t="s">
        <x:v>99</x:v>
      </x:c>
      <x:c r="D43" s="136" t="s">
        <x:v>28</x:v>
      </x:c>
      <x:c r="E43" s="136" t="s">
        <x:v>131</x:v>
      </x:c>
      <x:c r="F43" s="137">
        <x:v>283</x:v>
      </x:c>
      <x:c r="G43" s="137">
        <x:v>117</x:v>
      </x:c>
      <x:c r="H43" s="137">
        <x:v>191</x:v>
      </x:c>
      <x:c r="I43" s="137">
        <x:v>92</x:v>
      </x:c>
      <x:c r="J43" s="137">
        <x:v>101</x:v>
      </x:c>
      <x:c r="K43" s="137">
        <x:v>16</x:v>
      </x:c>
      <x:c r="L43" s="138">
        <x:v>67.491199999999992</x:v>
      </x:c>
      <x:c r="M43" s="138">
        <x:v>13.675200000000002</x:v>
      </x:c>
      <x:c r="N43" s="138">
        <x:v>51.749999999999993</x:v>
      </x:c>
    </x:row>
    <x:row r="44" ht="14.25" customHeight="1">
      <x:c r="A44" s="139" t="s">
        <x:v>47</x:v>
      </x:c>
      <x:c r="B44" s="139" t="s">
        <x:v>49</x:v>
      </x:c>
      <x:c r="C44" s="139" t="s">
        <x:v>101</x:v>
      </x:c>
      <x:c r="D44" s="139" t="s">
        <x:v>28</x:v>
      </x:c>
      <x:c r="E44" s="143" t="s">
        <x:v>127</x:v>
      </x:c>
      <x:c r="F44" s="140">
        <x:v>283</x:v>
      </x:c>
      <x:c r="G44" s="140">
        <x:v>117</x:v>
      </x:c>
      <x:c r="H44" s="140">
        <x:v>237</x:v>
      </x:c>
      <x:c r="I44" s="140">
        <x:v>46</x:v>
      </x:c>
      <x:c r="J44" s="140">
        <x:v>55</x:v>
      </x:c>
      <x:c r="K44" s="140">
        <x:v>62</x:v>
      </x:c>
      <x:c r="L44" s="141">
        <x:v>83.745599999999996</x:v>
      </x:c>
      <x:c r="M44" s="141">
        <x:v>52.991500000000002</x:v>
      </x:c>
      <x:c r="N44" s="144">
        <x:v>74.75</x:v>
      </x:c>
    </x:row>
    <x:row r="45" ht="14.25" customHeight="1">
      <x:c r="A45" s="136" t="s">
        <x:v>47</x:v>
      </x:c>
      <x:c r="B45" s="136" t="s">
        <x:v>49</x:v>
      </x:c>
      <x:c r="C45" s="136" t="s">
        <x:v>101</x:v>
      </x:c>
      <x:c r="D45" s="136" t="s">
        <x:v>28</x:v>
      </x:c>
      <x:c r="E45" s="136" t="s">
        <x:v>128</x:v>
      </x:c>
      <x:c r="F45" s="137">
        <x:v>283</x:v>
      </x:c>
      <x:c r="G45" s="137">
        <x:v>117</x:v>
      </x:c>
      <x:c r="H45" s="137">
        <x:v>240</x:v>
      </x:c>
      <x:c r="I45" s="137">
        <x:v>43</x:v>
      </x:c>
      <x:c r="J45" s="137">
        <x:v>86</x:v>
      </x:c>
      <x:c r="K45" s="137">
        <x:v>31</x:v>
      </x:c>
      <x:c r="L45" s="138">
        <x:v>84.805700000000002</x:v>
      </x:c>
      <x:c r="M45" s="138">
        <x:v>26.495699999999999</x:v>
      </x:c>
      <x:c r="N45" s="138">
        <x:v>67.75</x:v>
      </x:c>
    </x:row>
    <x:row r="46" ht="14.25" customHeight="1">
      <x:c r="A46" s="139" t="s">
        <x:v>47</x:v>
      </x:c>
      <x:c r="B46" s="139" t="s">
        <x:v>49</x:v>
      </x:c>
      <x:c r="C46" s="139" t="s">
        <x:v>101</x:v>
      </x:c>
      <x:c r="D46" s="139" t="s">
        <x:v>28</x:v>
      </x:c>
      <x:c r="E46" s="139" t="s">
        <x:v>129</x:v>
      </x:c>
      <x:c r="F46" s="140">
        <x:v>283</x:v>
      </x:c>
      <x:c r="G46" s="140">
        <x:v>117</x:v>
      </x:c>
      <x:c r="H46" s="140">
        <x:v>239</x:v>
      </x:c>
      <x:c r="I46" s="140">
        <x:v>44</x:v>
      </x:c>
      <x:c r="J46" s="140">
        <x:v>113</x:v>
      </x:c>
      <x:c r="K46" s="140">
        <x:v>4</x:v>
      </x:c>
      <x:c r="L46" s="141">
        <x:v>84.452300000000008</x:v>
      </x:c>
      <x:c r="M46" s="141">
        <x:v>3.4188000000000005</x:v>
      </x:c>
      <x:c r="N46" s="141">
        <x:v>60.750000000000007</x:v>
      </x:c>
    </x:row>
    <x:row r="47" ht="14.25" customHeight="1">
      <x:c r="A47" s="136" t="s">
        <x:v>47</x:v>
      </x:c>
      <x:c r="B47" s="136" t="s">
        <x:v>49</x:v>
      </x:c>
      <x:c r="C47" s="136" t="s">
        <x:v>101</x:v>
      </x:c>
      <x:c r="D47" s="136" t="s">
        <x:v>28</x:v>
      </x:c>
      <x:c r="E47" s="136" t="s">
        <x:v>130</x:v>
      </x:c>
      <x:c r="F47" s="137">
        <x:v>283</x:v>
      </x:c>
      <x:c r="G47" s="137">
        <x:v>117</x:v>
      </x:c>
      <x:c r="H47" s="137">
        <x:v>237</x:v>
      </x:c>
      <x:c r="I47" s="137">
        <x:v>46</x:v>
      </x:c>
      <x:c r="J47" s="137">
        <x:v>93</x:v>
      </x:c>
      <x:c r="K47" s="137">
        <x:v>24</x:v>
      </x:c>
      <x:c r="L47" s="138">
        <x:v>83.745599999999996</x:v>
      </x:c>
      <x:c r="M47" s="138">
        <x:v>20.512800000000002</x:v>
      </x:c>
      <x:c r="N47" s="138">
        <x:v>65.25</x:v>
      </x:c>
    </x:row>
    <x:row r="48" ht="14.25" customHeight="1">
      <x:c r="A48" s="139" t="s">
        <x:v>47</x:v>
      </x:c>
      <x:c r="B48" s="139" t="s">
        <x:v>49</x:v>
      </x:c>
      <x:c r="C48" s="139" t="s">
        <x:v>101</x:v>
      </x:c>
      <x:c r="D48" s="139" t="s">
        <x:v>28</x:v>
      </x:c>
      <x:c r="E48" s="139" t="s">
        <x:v>131</x:v>
      </x:c>
      <x:c r="F48" s="140">
        <x:v>283</x:v>
      </x:c>
      <x:c r="G48" s="140">
        <x:v>117</x:v>
      </x:c>
      <x:c r="H48" s="140">
        <x:v>193</x:v>
      </x:c>
      <x:c r="I48" s="140">
        <x:v>90</x:v>
      </x:c>
      <x:c r="J48" s="140">
        <x:v>103</x:v>
      </x:c>
      <x:c r="K48" s="140">
        <x:v>14</x:v>
      </x:c>
      <x:c r="L48" s="141">
        <x:v>68.197900000000004</x:v>
      </x:c>
      <x:c r="M48" s="141">
        <x:v>11.9658</x:v>
      </x:c>
      <x:c r="N48" s="141">
        <x:v>51.749999999999993</x:v>
      </x:c>
    </x:row>
    <x:row r="49" ht="14.25" customHeight="1">
      <x:c r="A49" s="136" t="s">
        <x:v>47</x:v>
      </x:c>
      <x:c r="B49" s="136" t="s">
        <x:v>49</x:v>
      </x:c>
      <x:c r="C49" s="136" t="s">
        <x:v>101</x:v>
      </x:c>
      <x:c r="D49" s="136" t="s">
        <x:v>32</x:v>
      </x:c>
      <x:c r="E49" s="142" t="s">
        <x:v>127</x:v>
      </x:c>
      <x:c r="F49" s="137">
        <x:v>283</x:v>
      </x:c>
      <x:c r="G49" s="137">
        <x:v>117</x:v>
      </x:c>
      <x:c r="H49" s="137">
        <x:v>241</x:v>
      </x:c>
      <x:c r="I49" s="137">
        <x:v>42</x:v>
      </x:c>
      <x:c r="J49" s="137">
        <x:v>64</x:v>
      </x:c>
      <x:c r="K49" s="137">
        <x:v>53</x:v>
      </x:c>
      <x:c r="L49" s="145">
        <x:v>85.158999999999992</x:v>
      </x:c>
      <x:c r="M49" s="138">
        <x:v>45.299099999999996</x:v>
      </x:c>
      <x:c r="N49" s="138">
        <x:v>73.5</x:v>
      </x:c>
    </x:row>
    <x:row r="50" ht="14.25" customHeight="1">
      <x:c r="A50" s="139" t="s">
        <x:v>47</x:v>
      </x:c>
      <x:c r="B50" s="139" t="s">
        <x:v>49</x:v>
      </x:c>
      <x:c r="C50" s="139" t="s">
        <x:v>101</x:v>
      </x:c>
      <x:c r="D50" s="139" t="s">
        <x:v>32</x:v>
      </x:c>
      <x:c r="E50" s="139" t="s">
        <x:v>128</x:v>
      </x:c>
      <x:c r="F50" s="140">
        <x:v>283</x:v>
      </x:c>
      <x:c r="G50" s="140">
        <x:v>117</x:v>
      </x:c>
      <x:c r="H50" s="140">
        <x:v>240</x:v>
      </x:c>
      <x:c r="I50" s="140">
        <x:v>43</x:v>
      </x:c>
      <x:c r="J50" s="140">
        <x:v>82</x:v>
      </x:c>
      <x:c r="K50" s="140">
        <x:v>35</x:v>
      </x:c>
      <x:c r="L50" s="141">
        <x:v>84.805700000000002</x:v>
      </x:c>
      <x:c r="M50" s="141">
        <x:v>29.9145</x:v>
      </x:c>
      <x:c r="N50" s="141">
        <x:v>68.75</x:v>
      </x:c>
    </x:row>
    <x:row r="51" ht="14.25" customHeight="1">
      <x:c r="A51" s="136" t="s">
        <x:v>47</x:v>
      </x:c>
      <x:c r="B51" s="136" t="s">
        <x:v>49</x:v>
      </x:c>
      <x:c r="C51" s="136" t="s">
        <x:v>101</x:v>
      </x:c>
      <x:c r="D51" s="136" t="s">
        <x:v>32</x:v>
      </x:c>
      <x:c r="E51" s="136" t="s">
        <x:v>129</x:v>
      </x:c>
      <x:c r="F51" s="137">
        <x:v>283</x:v>
      </x:c>
      <x:c r="G51" s="137">
        <x:v>117</x:v>
      </x:c>
      <x:c r="H51" s="137">
        <x:v>237</x:v>
      </x:c>
      <x:c r="I51" s="137">
        <x:v>46</x:v>
      </x:c>
      <x:c r="J51" s="137">
        <x:v>112</x:v>
      </x:c>
      <x:c r="K51" s="137">
        <x:v>5</x:v>
      </x:c>
      <x:c r="L51" s="138">
        <x:v>83.745599999999996</x:v>
      </x:c>
      <x:c r="M51" s="138">
        <x:v>4.2735000000000003</x:v>
      </x:c>
      <x:c r="N51" s="138">
        <x:v>60.5</x:v>
      </x:c>
    </x:row>
    <x:row r="52" ht="14.25" customHeight="1">
      <x:c r="A52" s="139" t="s">
        <x:v>47</x:v>
      </x:c>
      <x:c r="B52" s="139" t="s">
        <x:v>49</x:v>
      </x:c>
      <x:c r="C52" s="139" t="s">
        <x:v>101</x:v>
      </x:c>
      <x:c r="D52" s="139" t="s">
        <x:v>32</x:v>
      </x:c>
      <x:c r="E52" s="139" t="s">
        <x:v>130</x:v>
      </x:c>
      <x:c r="F52" s="140">
        <x:v>283</x:v>
      </x:c>
      <x:c r="G52" s="140">
        <x:v>117</x:v>
      </x:c>
      <x:c r="H52" s="140">
        <x:v>234</x:v>
      </x:c>
      <x:c r="I52" s="140">
        <x:v>49</x:v>
      </x:c>
      <x:c r="J52" s="140">
        <x:v>83</x:v>
      </x:c>
      <x:c r="K52" s="140">
        <x:v>34</x:v>
      </x:c>
      <x:c r="L52" s="141">
        <x:v>82.685500000000005</x:v>
      </x:c>
      <x:c r="M52" s="141">
        <x:v>29.059800000000003</x:v>
      </x:c>
      <x:c r="N52" s="141">
        <x:v>67</x:v>
      </x:c>
    </x:row>
    <x:row r="53" ht="14.25" customHeight="1">
      <x:c r="A53" s="136" t="s">
        <x:v>47</x:v>
      </x:c>
      <x:c r="B53" s="136" t="s">
        <x:v>49</x:v>
      </x:c>
      <x:c r="C53" s="136" t="s">
        <x:v>101</x:v>
      </x:c>
      <x:c r="D53" s="136" t="s">
        <x:v>32</x:v>
      </x:c>
      <x:c r="E53" s="136" t="s">
        <x:v>131</x:v>
      </x:c>
      <x:c r="F53" s="137">
        <x:v>283</x:v>
      </x:c>
      <x:c r="G53" s="137">
        <x:v>117</x:v>
      </x:c>
      <x:c r="H53" s="137">
        <x:v>196</x:v>
      </x:c>
      <x:c r="I53" s="137">
        <x:v>87</x:v>
      </x:c>
      <x:c r="J53" s="137">
        <x:v>103</x:v>
      </x:c>
      <x:c r="K53" s="137">
        <x:v>14</x:v>
      </x:c>
      <x:c r="L53" s="138">
        <x:v>69.257999999999996</x:v>
      </x:c>
      <x:c r="M53" s="138">
        <x:v>11.9658</x:v>
      </x:c>
      <x:c r="N53" s="138">
        <x:v>52.5</x:v>
      </x:c>
    </x:row>
    <x:row r="54" ht="14.25" customHeight="1">
      <x:c r="A54" s="139" t="s">
        <x:v>47</x:v>
      </x:c>
      <x:c r="B54" s="139" t="s">
        <x:v>49</x:v>
      </x:c>
      <x:c r="C54" s="139" t="s">
        <x:v>101</x:v>
      </x:c>
      <x:c r="D54" s="139" t="s">
        <x:v>34</x:v>
      </x:c>
      <x:c r="E54" s="143" t="s">
        <x:v>127</x:v>
      </x:c>
      <x:c r="F54" s="140">
        <x:v>283</x:v>
      </x:c>
      <x:c r="G54" s="140">
        <x:v>117</x:v>
      </x:c>
      <x:c r="H54" s="140">
        <x:v>226</x:v>
      </x:c>
      <x:c r="I54" s="140">
        <x:v>57</x:v>
      </x:c>
      <x:c r="J54" s="140">
        <x:v>58</x:v>
      </x:c>
      <x:c r="K54" s="140">
        <x:v>59</x:v>
      </x:c>
      <x:c r="L54" s="141">
        <x:v>79.858699999999999</x:v>
      </x:c>
      <x:c r="M54" s="141">
        <x:v>50.427399999999999</x:v>
      </x:c>
      <x:c r="N54" s="141">
        <x:v>71.25</x:v>
      </x:c>
    </x:row>
    <x:row r="55" ht="14.25" customHeight="1">
      <x:c r="A55" s="136" t="s">
        <x:v>47</x:v>
      </x:c>
      <x:c r="B55" s="136" t="s">
        <x:v>49</x:v>
      </x:c>
      <x:c r="C55" s="136" t="s">
        <x:v>101</x:v>
      </x:c>
      <x:c r="D55" s="136" t="s">
        <x:v>34</x:v>
      </x:c>
      <x:c r="E55" s="136" t="s">
        <x:v>128</x:v>
      </x:c>
      <x:c r="F55" s="137">
        <x:v>283</x:v>
      </x:c>
      <x:c r="G55" s="137">
        <x:v>117</x:v>
      </x:c>
      <x:c r="H55" s="137">
        <x:v>241</x:v>
      </x:c>
      <x:c r="I55" s="137">
        <x:v>42</x:v>
      </x:c>
      <x:c r="J55" s="137">
        <x:v>89</x:v>
      </x:c>
      <x:c r="K55" s="137">
        <x:v>28</x:v>
      </x:c>
      <x:c r="L55" s="138">
        <x:v>85.158999999999992</x:v>
      </x:c>
      <x:c r="M55" s="138">
        <x:v>23.9316</x:v>
      </x:c>
      <x:c r="N55" s="138">
        <x:v>67.25</x:v>
      </x:c>
    </x:row>
    <x:row r="56" ht="14.25" customHeight="1">
      <x:c r="A56" s="139" t="s">
        <x:v>47</x:v>
      </x:c>
      <x:c r="B56" s="139" t="s">
        <x:v>49</x:v>
      </x:c>
      <x:c r="C56" s="139" t="s">
        <x:v>101</x:v>
      </x:c>
      <x:c r="D56" s="139" t="s">
        <x:v>34</x:v>
      </x:c>
      <x:c r="E56" s="139" t="s">
        <x:v>129</x:v>
      </x:c>
      <x:c r="F56" s="140">
        <x:v>283</x:v>
      </x:c>
      <x:c r="G56" s="140">
        <x:v>117</x:v>
      </x:c>
      <x:c r="H56" s="140">
        <x:v>239</x:v>
      </x:c>
      <x:c r="I56" s="140">
        <x:v>44</x:v>
      </x:c>
      <x:c r="J56" s="140">
        <x:v>112</x:v>
      </x:c>
      <x:c r="K56" s="140">
        <x:v>5</x:v>
      </x:c>
      <x:c r="L56" s="141">
        <x:v>84.452300000000008</x:v>
      </x:c>
      <x:c r="M56" s="141">
        <x:v>4.2735000000000003</x:v>
      </x:c>
      <x:c r="N56" s="141">
        <x:v>61</x:v>
      </x:c>
    </x:row>
    <x:row r="57" ht="14.25" customHeight="1">
      <x:c r="A57" s="136" t="s">
        <x:v>47</x:v>
      </x:c>
      <x:c r="B57" s="136" t="s">
        <x:v>49</x:v>
      </x:c>
      <x:c r="C57" s="136" t="s">
        <x:v>101</x:v>
      </x:c>
      <x:c r="D57" s="136" t="s">
        <x:v>34</x:v>
      </x:c>
      <x:c r="E57" s="136" t="s">
        <x:v>130</x:v>
      </x:c>
      <x:c r="F57" s="137">
        <x:v>283</x:v>
      </x:c>
      <x:c r="G57" s="137">
        <x:v>117</x:v>
      </x:c>
      <x:c r="H57" s="137">
        <x:v>237</x:v>
      </x:c>
      <x:c r="I57" s="137">
        <x:v>46</x:v>
      </x:c>
      <x:c r="J57" s="137">
        <x:v>82</x:v>
      </x:c>
      <x:c r="K57" s="137">
        <x:v>35</x:v>
      </x:c>
      <x:c r="L57" s="138">
        <x:v>83.745599999999996</x:v>
      </x:c>
      <x:c r="M57" s="138">
        <x:v>29.9145</x:v>
      </x:c>
      <x:c r="N57" s="138">
        <x:v>68</x:v>
      </x:c>
    </x:row>
    <x:row r="58" ht="14.25" customHeight="1">
      <x:c r="A58" s="139" t="s">
        <x:v>47</x:v>
      </x:c>
      <x:c r="B58" s="139" t="s">
        <x:v>49</x:v>
      </x:c>
      <x:c r="C58" s="139" t="s">
        <x:v>101</x:v>
      </x:c>
      <x:c r="D58" s="139" t="s">
        <x:v>34</x:v>
      </x:c>
      <x:c r="E58" s="139" t="s">
        <x:v>131</x:v>
      </x:c>
      <x:c r="F58" s="140">
        <x:v>283</x:v>
      </x:c>
      <x:c r="G58" s="140">
        <x:v>117</x:v>
      </x:c>
      <x:c r="H58" s="140">
        <x:v>195</x:v>
      </x:c>
      <x:c r="I58" s="140">
        <x:v>88</x:v>
      </x:c>
      <x:c r="J58" s="140">
        <x:v>105</x:v>
      </x:c>
      <x:c r="K58" s="140">
        <x:v>12</x:v>
      </x:c>
      <x:c r="L58" s="141">
        <x:v>68.904600000000002</x:v>
      </x:c>
      <x:c r="M58" s="141">
        <x:v>10.256400000000001</x:v>
      </x:c>
      <x:c r="N58" s="141">
        <x:v>51.749999999999993</x:v>
      </x:c>
    </x:row>
    <x:row r="59" ht="14.25" customHeight="1">
      <x:c r="A59" s="136" t="s">
        <x:v>53</x:v>
      </x:c>
      <x:c r="B59" s="136" t="s">
        <x:v>55</x:v>
      </x:c>
      <x:c r="C59" s="136" t="s">
        <x:v>104</x:v>
      </x:c>
      <x:c r="D59" s="136" t="s">
        <x:v>28</x:v>
      </x:c>
      <x:c r="E59" s="142" t="s">
        <x:v>127</x:v>
      </x:c>
      <x:c r="F59" s="137">
        <x:v>283</x:v>
      </x:c>
      <x:c r="G59" s="137">
        <x:v>117</x:v>
      </x:c>
      <x:c r="H59" s="137">
        <x:v>214</x:v>
      </x:c>
      <x:c r="I59" s="137">
        <x:v>69</x:v>
      </x:c>
      <x:c r="J59" s="137">
        <x:v>65</x:v>
      </x:c>
      <x:c r="K59" s="137">
        <x:v>52</x:v>
      </x:c>
      <x:c r="L59" s="145">
        <x:v>75.618399999999994</x:v>
      </x:c>
      <x:c r="M59" s="138">
        <x:v>44.444400000000002</x:v>
      </x:c>
      <x:c r="N59" s="138">
        <x:v>66.5</x:v>
      </x:c>
    </x:row>
    <x:row r="60" ht="14.25" customHeight="1">
      <x:c r="A60" s="139" t="s">
        <x:v>53</x:v>
      </x:c>
      <x:c r="B60" s="139" t="s">
        <x:v>55</x:v>
      </x:c>
      <x:c r="C60" s="139" t="s">
        <x:v>104</x:v>
      </x:c>
      <x:c r="D60" s="139" t="s">
        <x:v>28</x:v>
      </x:c>
      <x:c r="E60" s="139" t="s">
        <x:v>128</x:v>
      </x:c>
      <x:c r="F60" s="140">
        <x:v>283</x:v>
      </x:c>
      <x:c r="G60" s="140">
        <x:v>117</x:v>
      </x:c>
      <x:c r="H60" s="140">
        <x:v>246</x:v>
      </x:c>
      <x:c r="I60" s="140">
        <x:v>37</x:v>
      </x:c>
      <x:c r="J60" s="140">
        <x:v>87</x:v>
      </x:c>
      <x:c r="K60" s="140">
        <x:v>30</x:v>
      </x:c>
      <x:c r="L60" s="141">
        <x:v>86.925799999999995</x:v>
      </x:c>
      <x:c r="M60" s="141">
        <x:v>25.641000000000002</x:v>
      </x:c>
      <x:c r="N60" s="141">
        <x:v>69</x:v>
      </x:c>
    </x:row>
    <x:row r="61" ht="14.25" customHeight="1">
      <x:c r="A61" s="136" t="s">
        <x:v>53</x:v>
      </x:c>
      <x:c r="B61" s="136" t="s">
        <x:v>55</x:v>
      </x:c>
      <x:c r="C61" s="136" t="s">
        <x:v>104</x:v>
      </x:c>
      <x:c r="D61" s="136" t="s">
        <x:v>28</x:v>
      </x:c>
      <x:c r="E61" s="136" t="s">
        <x:v>129</x:v>
      </x:c>
      <x:c r="F61" s="137">
        <x:v>283</x:v>
      </x:c>
      <x:c r="G61" s="137">
        <x:v>117</x:v>
      </x:c>
      <x:c r="H61" s="137">
        <x:v>238</x:v>
      </x:c>
      <x:c r="I61" s="137">
        <x:v>45</x:v>
      </x:c>
      <x:c r="J61" s="137">
        <x:v>113</x:v>
      </x:c>
      <x:c r="K61" s="137">
        <x:v>4</x:v>
      </x:c>
      <x:c r="L61" s="138">
        <x:v>84.0989</x:v>
      </x:c>
      <x:c r="M61" s="138">
        <x:v>3.4188000000000005</x:v>
      </x:c>
      <x:c r="N61" s="138">
        <x:v>60.5</x:v>
      </x:c>
    </x:row>
    <x:row r="62" ht="14.25" customHeight="1">
      <x:c r="A62" s="139" t="s">
        <x:v>53</x:v>
      </x:c>
      <x:c r="B62" s="139" t="s">
        <x:v>55</x:v>
      </x:c>
      <x:c r="C62" s="139" t="s">
        <x:v>104</x:v>
      </x:c>
      <x:c r="D62" s="139" t="s">
        <x:v>28</x:v>
      </x:c>
      <x:c r="E62" s="139" t="s">
        <x:v>130</x:v>
      </x:c>
      <x:c r="F62" s="140">
        <x:v>283</x:v>
      </x:c>
      <x:c r="G62" s="140">
        <x:v>117</x:v>
      </x:c>
      <x:c r="H62" s="140">
        <x:v>239</x:v>
      </x:c>
      <x:c r="I62" s="140">
        <x:v>44</x:v>
      </x:c>
      <x:c r="J62" s="140">
        <x:v>79</x:v>
      </x:c>
      <x:c r="K62" s="140">
        <x:v>38</x:v>
      </x:c>
      <x:c r="L62" s="141">
        <x:v>84.452300000000008</x:v>
      </x:c>
      <x:c r="M62" s="141">
        <x:v>32.4786</x:v>
      </x:c>
      <x:c r="N62" s="141">
        <x:v>69.25</x:v>
      </x:c>
    </x:row>
    <x:row r="63" ht="14.25" customHeight="1">
      <x:c r="A63" s="136" t="s">
        <x:v>53</x:v>
      </x:c>
      <x:c r="B63" s="136" t="s">
        <x:v>55</x:v>
      </x:c>
      <x:c r="C63" s="136" t="s">
        <x:v>104</x:v>
      </x:c>
      <x:c r="D63" s="136" t="s">
        <x:v>28</x:v>
      </x:c>
      <x:c r="E63" s="136" t="s">
        <x:v>131</x:v>
      </x:c>
      <x:c r="F63" s="137">
        <x:v>283</x:v>
      </x:c>
      <x:c r="G63" s="137">
        <x:v>117</x:v>
      </x:c>
      <x:c r="H63" s="137">
        <x:v>197</x:v>
      </x:c>
      <x:c r="I63" s="137">
        <x:v>86</x:v>
      </x:c>
      <x:c r="J63" s="137">
        <x:v>105</x:v>
      </x:c>
      <x:c r="K63" s="137">
        <x:v>12</x:v>
      </x:c>
      <x:c r="L63" s="138">
        <x:v>69.6113</x:v>
      </x:c>
      <x:c r="M63" s="138">
        <x:v>10.256400000000001</x:v>
      </x:c>
      <x:c r="N63" s="138">
        <x:v>52.25</x:v>
      </x:c>
    </x:row>
    <x:row r="64" ht="14.25" customHeight="1">
      <x:c r="A64" s="139" t="s">
        <x:v>53</x:v>
      </x:c>
      <x:c r="B64" s="139" t="s">
        <x:v>55</x:v>
      </x:c>
      <x:c r="C64" s="139" t="s">
        <x:v>104</x:v>
      </x:c>
      <x:c r="D64" s="139" t="s">
        <x:v>32</x:v>
      </x:c>
      <x:c r="E64" s="143" t="s">
        <x:v>127</x:v>
      </x:c>
      <x:c r="F64" s="140">
        <x:v>283</x:v>
      </x:c>
      <x:c r="G64" s="140">
        <x:v>117</x:v>
      </x:c>
      <x:c r="H64" s="140">
        <x:v>213</x:v>
      </x:c>
      <x:c r="I64" s="140">
        <x:v>70</x:v>
      </x:c>
      <x:c r="J64" s="140">
        <x:v>63</x:v>
      </x:c>
      <x:c r="K64" s="140">
        <x:v>54</x:v>
      </x:c>
      <x:c r="L64" s="144">
        <x:v>75.265000000000001</x:v>
      </x:c>
      <x:c r="M64" s="141">
        <x:v>46.153800000000004</x:v>
      </x:c>
      <x:c r="N64" s="144">
        <x:v>66.75</x:v>
      </x:c>
    </x:row>
    <x:row r="65" ht="14.25" customHeight="1">
      <x:c r="A65" s="136" t="s">
        <x:v>53</x:v>
      </x:c>
      <x:c r="B65" s="136" t="s">
        <x:v>55</x:v>
      </x:c>
      <x:c r="C65" s="136" t="s">
        <x:v>104</x:v>
      </x:c>
      <x:c r="D65" s="136" t="s">
        <x:v>32</x:v>
      </x:c>
      <x:c r="E65" s="136" t="s">
        <x:v>128</x:v>
      </x:c>
      <x:c r="F65" s="137">
        <x:v>283</x:v>
      </x:c>
      <x:c r="G65" s="137">
        <x:v>117</x:v>
      </x:c>
      <x:c r="H65" s="137">
        <x:v>244</x:v>
      </x:c>
      <x:c r="I65" s="137">
        <x:v>39</x:v>
      </x:c>
      <x:c r="J65" s="137">
        <x:v>88</x:v>
      </x:c>
      <x:c r="K65" s="137">
        <x:v>29</x:v>
      </x:c>
      <x:c r="L65" s="138">
        <x:v>86.219099999999997</x:v>
      </x:c>
      <x:c r="M65" s="138">
        <x:v>24.786300000000001</x:v>
      </x:c>
      <x:c r="N65" s="138">
        <x:v>68.25</x:v>
      </x:c>
    </x:row>
    <x:row r="66" ht="14.25" customHeight="1">
      <x:c r="A66" s="139" t="s">
        <x:v>53</x:v>
      </x:c>
      <x:c r="B66" s="139" t="s">
        <x:v>55</x:v>
      </x:c>
      <x:c r="C66" s="139" t="s">
        <x:v>104</x:v>
      </x:c>
      <x:c r="D66" s="139" t="s">
        <x:v>32</x:v>
      </x:c>
      <x:c r="E66" s="139" t="s">
        <x:v>129</x:v>
      </x:c>
      <x:c r="F66" s="140">
        <x:v>283</x:v>
      </x:c>
      <x:c r="G66" s="140">
        <x:v>117</x:v>
      </x:c>
      <x:c r="H66" s="140">
        <x:v>239</x:v>
      </x:c>
      <x:c r="I66" s="140">
        <x:v>44</x:v>
      </x:c>
      <x:c r="J66" s="140">
        <x:v>112</x:v>
      </x:c>
      <x:c r="K66" s="140">
        <x:v>5</x:v>
      </x:c>
      <x:c r="L66" s="141">
        <x:v>84.452300000000008</x:v>
      </x:c>
      <x:c r="M66" s="141">
        <x:v>4.2735000000000003</x:v>
      </x:c>
      <x:c r="N66" s="141">
        <x:v>61</x:v>
      </x:c>
    </x:row>
    <x:row r="67" ht="14.25" customHeight="1">
      <x:c r="A67" s="136" t="s">
        <x:v>53</x:v>
      </x:c>
      <x:c r="B67" s="136" t="s">
        <x:v>55</x:v>
      </x:c>
      <x:c r="C67" s="136" t="s">
        <x:v>104</x:v>
      </x:c>
      <x:c r="D67" s="136" t="s">
        <x:v>32</x:v>
      </x:c>
      <x:c r="E67" s="136" t="s">
        <x:v>130</x:v>
      </x:c>
      <x:c r="F67" s="137">
        <x:v>283</x:v>
      </x:c>
      <x:c r="G67" s="137">
        <x:v>117</x:v>
      </x:c>
      <x:c r="H67" s="137">
        <x:v>238</x:v>
      </x:c>
      <x:c r="I67" s="137">
        <x:v>45</x:v>
      </x:c>
      <x:c r="J67" s="137">
        <x:v>81</x:v>
      </x:c>
      <x:c r="K67" s="137">
        <x:v>36</x:v>
      </x:c>
      <x:c r="L67" s="138">
        <x:v>84.0989</x:v>
      </x:c>
      <x:c r="M67" s="138">
        <x:v>30.769200000000001</x:v>
      </x:c>
      <x:c r="N67" s="138">
        <x:v>68.5</x:v>
      </x:c>
    </x:row>
    <x:row r="68" ht="14.25" customHeight="1">
      <x:c r="A68" s="146" t="s">
        <x:v>53</x:v>
      </x:c>
      <x:c r="B68" s="146" t="s">
        <x:v>55</x:v>
      </x:c>
      <x:c r="C68" s="146" t="s">
        <x:v>104</x:v>
      </x:c>
      <x:c r="D68" s="146" t="s">
        <x:v>32</x:v>
      </x:c>
      <x:c r="E68" s="146" t="s">
        <x:v>131</x:v>
      </x:c>
      <x:c r="F68" s="147">
        <x:v>283</x:v>
      </x:c>
      <x:c r="G68" s="147">
        <x:v>117</x:v>
      </x:c>
      <x:c r="H68" s="147">
        <x:v>197</x:v>
      </x:c>
      <x:c r="I68" s="147">
        <x:v>86</x:v>
      </x:c>
      <x:c r="J68" s="147">
        <x:v>105</x:v>
      </x:c>
      <x:c r="K68" s="147">
        <x:v>12</x:v>
      </x:c>
      <x:c r="L68" s="148">
        <x:v>69.6113</x:v>
      </x:c>
      <x:c r="M68" s="148">
        <x:v>10.256400000000001</x:v>
      </x:c>
      <x:c r="N68" s="148">
        <x:v>52.25</x:v>
      </x:c>
    </x:row>
    <x:row r="69" ht="14.25" customHeight="1">
      <x:c r="A69" s="149" t="s">
        <x:v>53</x:v>
      </x:c>
      <x:c r="B69" s="149" t="s">
        <x:v>55</x:v>
      </x:c>
      <x:c r="C69" s="149" t="s">
        <x:v>104</x:v>
      </x:c>
      <x:c r="D69" s="149" t="s">
        <x:v>34</x:v>
      </x:c>
      <x:c r="E69" s="149" t="s">
        <x:v>127</x:v>
      </x:c>
      <x:c r="F69" s="149">
        <x:v>283</x:v>
      </x:c>
      <x:c r="G69" s="149">
        <x:v>117</x:v>
      </x:c>
      <x:c r="H69" s="149">
        <x:v>208</x:v>
      </x:c>
      <x:c r="I69" s="149">
        <x:v>75</x:v>
      </x:c>
      <x:c r="J69" s="149">
        <x:v>58</x:v>
      </x:c>
      <x:c r="K69" s="149">
        <x:v>59</x:v>
      </x:c>
      <x:c r="L69" s="151">
        <x:v>73.498199999999997</x:v>
      </x:c>
      <x:c r="M69" s="151">
        <x:v>50.427399999999999</x:v>
      </x:c>
      <x:c r="N69" s="151">
        <x:v>66.75</x:v>
      </x:c>
    </x:row>
    <x:row r="70" ht="14.25" customHeight="1">
      <x:c r="A70" s="150" t="s">
        <x:v>53</x:v>
      </x:c>
      <x:c r="B70" s="150" t="s">
        <x:v>55</x:v>
      </x:c>
      <x:c r="C70" s="150" t="s">
        <x:v>104</x:v>
      </x:c>
      <x:c r="D70" s="150" t="s">
        <x:v>34</x:v>
      </x:c>
      <x:c r="E70" s="150" t="s">
        <x:v>128</x:v>
      </x:c>
      <x:c r="F70" s="150">
        <x:v>283</x:v>
      </x:c>
      <x:c r="G70" s="150">
        <x:v>117</x:v>
      </x:c>
      <x:c r="H70" s="150">
        <x:v>245</x:v>
      </x:c>
      <x:c r="I70" s="150">
        <x:v>38</x:v>
      </x:c>
      <x:c r="J70" s="150">
        <x:v>91</x:v>
      </x:c>
      <x:c r="K70" s="150">
        <x:v>26</x:v>
      </x:c>
      <x:c r="L70" s="152">
        <x:v>86.572400000000002</x:v>
      </x:c>
      <x:c r="M70" s="152">
        <x:v>22.222200000000001</x:v>
      </x:c>
      <x:c r="N70" s="152">
        <x:v>67.75</x:v>
      </x:c>
    </x:row>
    <x:row r="71" ht="14.25" customHeight="1">
      <x:c r="A71" s="149" t="s">
        <x:v>53</x:v>
      </x:c>
      <x:c r="B71" s="149" t="s">
        <x:v>55</x:v>
      </x:c>
      <x:c r="C71" s="149" t="s">
        <x:v>104</x:v>
      </x:c>
      <x:c r="D71" s="149" t="s">
        <x:v>34</x:v>
      </x:c>
      <x:c r="E71" s="149" t="s">
        <x:v>129</x:v>
      </x:c>
      <x:c r="F71" s="149">
        <x:v>283</x:v>
      </x:c>
      <x:c r="G71" s="149">
        <x:v>117</x:v>
      </x:c>
      <x:c r="H71" s="149">
        <x:v>244</x:v>
      </x:c>
      <x:c r="I71" s="149">
        <x:v>39</x:v>
      </x:c>
      <x:c r="J71" s="149">
        <x:v>113</x:v>
      </x:c>
      <x:c r="K71" s="149">
        <x:v>4</x:v>
      </x:c>
      <x:c r="L71" s="151">
        <x:v>86.219099999999997</x:v>
      </x:c>
      <x:c r="M71" s="151">
        <x:v>3.4188000000000005</x:v>
      </x:c>
      <x:c r="N71" s="151">
        <x:v>62</x:v>
      </x:c>
    </x:row>
    <x:row r="72" ht="14.25" customHeight="1">
      <x:c r="A72" s="150" t="s">
        <x:v>53</x:v>
      </x:c>
      <x:c r="B72" s="150" t="s">
        <x:v>55</x:v>
      </x:c>
      <x:c r="C72" s="150" t="s">
        <x:v>104</x:v>
      </x:c>
      <x:c r="D72" s="150" t="s">
        <x:v>34</x:v>
      </x:c>
      <x:c r="E72" s="150" t="s">
        <x:v>130</x:v>
      </x:c>
      <x:c r="F72" s="150">
        <x:v>283</x:v>
      </x:c>
      <x:c r="G72" s="150">
        <x:v>117</x:v>
      </x:c>
      <x:c r="H72" s="150">
        <x:v>236</x:v>
      </x:c>
      <x:c r="I72" s="150">
        <x:v>47</x:v>
      </x:c>
      <x:c r="J72" s="150">
        <x:v>81</x:v>
      </x:c>
      <x:c r="K72" s="150">
        <x:v>36</x:v>
      </x:c>
      <x:c r="L72" s="152">
        <x:v>83.392200000000003</x:v>
      </x:c>
      <x:c r="M72" s="152">
        <x:v>30.769200000000001</x:v>
      </x:c>
      <x:c r="N72" s="152">
        <x:v>68</x:v>
      </x:c>
    </x:row>
    <x:row r="73" ht="14.25" customHeight="1">
      <x:c r="A73" s="149" t="s">
        <x:v>53</x:v>
      </x:c>
      <x:c r="B73" s="149" t="s">
        <x:v>55</x:v>
      </x:c>
      <x:c r="C73" s="149" t="s">
        <x:v>104</x:v>
      </x:c>
      <x:c r="D73" s="149" t="s">
        <x:v>34</x:v>
      </x:c>
      <x:c r="E73" s="149" t="s">
        <x:v>131</x:v>
      </x:c>
      <x:c r="F73" s="149">
        <x:v>283</x:v>
      </x:c>
      <x:c r="G73" s="149">
        <x:v>117</x:v>
      </x:c>
      <x:c r="H73" s="149">
        <x:v>194</x:v>
      </x:c>
      <x:c r="I73" s="149">
        <x:v>89</x:v>
      </x:c>
      <x:c r="J73" s="149">
        <x:v>104</x:v>
      </x:c>
      <x:c r="K73" s="149">
        <x:v>13</x:v>
      </x:c>
      <x:c r="L73" s="151">
        <x:v>68.551199999999994</x:v>
      </x:c>
      <x:c r="M73" s="151">
        <x:v>11.1111</x:v>
      </x:c>
      <x:c r="N73" s="151">
        <x:v>51.749999999999993</x:v>
      </x:c>
    </x:row>
    <x:row r="74" ht="14.25" customHeight="1">
      <x:c r="A74" s="150" t="s">
        <x:v>59</x:v>
      </x:c>
      <x:c r="B74" s="150" t="s">
        <x:v>61</x:v>
      </x:c>
      <x:c r="C74" s="150" t="s">
        <x:v>108</x:v>
      </x:c>
      <x:c r="D74" s="150" t="s">
        <x:v>28</x:v>
      </x:c>
      <x:c r="E74" s="150" t="s">
        <x:v>127</x:v>
      </x:c>
      <x:c r="F74" s="150">
        <x:v>283</x:v>
      </x:c>
      <x:c r="G74" s="150">
        <x:v>117</x:v>
      </x:c>
      <x:c r="H74" s="150">
        <x:v>233</x:v>
      </x:c>
      <x:c r="I74" s="150">
        <x:v>50</x:v>
      </x:c>
      <x:c r="J74" s="150">
        <x:v>56</x:v>
      </x:c>
      <x:c r="K74" s="150">
        <x:v>61</x:v>
      </x:c>
      <x:c r="L74" s="152">
        <x:v>82.3322</x:v>
      </x:c>
      <x:c r="M74" s="152">
        <x:v>52.136800000000008</x:v>
      </x:c>
      <x:c r="N74" s="152">
        <x:v>73.5</x:v>
      </x:c>
    </x:row>
    <x:row r="75" ht="14.25" customHeight="1">
      <x:c r="A75" s="149" t="s">
        <x:v>59</x:v>
      </x:c>
      <x:c r="B75" s="149" t="s">
        <x:v>61</x:v>
      </x:c>
      <x:c r="C75" s="149" t="s">
        <x:v>108</x:v>
      </x:c>
      <x:c r="D75" s="149" t="s">
        <x:v>28</x:v>
      </x:c>
      <x:c r="E75" s="149" t="s">
        <x:v>128</x:v>
      </x:c>
      <x:c r="F75" s="149">
        <x:v>283</x:v>
      </x:c>
      <x:c r="G75" s="149">
        <x:v>117</x:v>
      </x:c>
      <x:c r="H75" s="149">
        <x:v>242</x:v>
      </x:c>
      <x:c r="I75" s="149">
        <x:v>41</x:v>
      </x:c>
      <x:c r="J75" s="149">
        <x:v>86</x:v>
      </x:c>
      <x:c r="K75" s="149">
        <x:v>31</x:v>
      </x:c>
      <x:c r="L75" s="151">
        <x:v>85.5124</x:v>
      </x:c>
      <x:c r="M75" s="151">
        <x:v>26.495699999999999</x:v>
      </x:c>
      <x:c r="N75" s="151">
        <x:v>68.25</x:v>
      </x:c>
    </x:row>
    <x:row r="76" ht="14.25" customHeight="1">
      <x:c r="A76" s="150" t="s">
        <x:v>59</x:v>
      </x:c>
      <x:c r="B76" s="150" t="s">
        <x:v>61</x:v>
      </x:c>
      <x:c r="C76" s="150" t="s">
        <x:v>108</x:v>
      </x:c>
      <x:c r="D76" s="150" t="s">
        <x:v>28</x:v>
      </x:c>
      <x:c r="E76" s="150" t="s">
        <x:v>129</x:v>
      </x:c>
      <x:c r="F76" s="150">
        <x:v>283</x:v>
      </x:c>
      <x:c r="G76" s="150">
        <x:v>117</x:v>
      </x:c>
      <x:c r="H76" s="150">
        <x:v>239</x:v>
      </x:c>
      <x:c r="I76" s="150">
        <x:v>44</x:v>
      </x:c>
      <x:c r="J76" s="150">
        <x:v>113</x:v>
      </x:c>
      <x:c r="K76" s="150">
        <x:v>4</x:v>
      </x:c>
      <x:c r="L76" s="152">
        <x:v>84.452300000000008</x:v>
      </x:c>
      <x:c r="M76" s="152">
        <x:v>3.4188000000000005</x:v>
      </x:c>
      <x:c r="N76" s="152">
        <x:v>60.750000000000007</x:v>
      </x:c>
    </x:row>
    <x:row r="77" ht="14.25" customHeight="1">
      <x:c r="A77" s="149" t="s">
        <x:v>59</x:v>
      </x:c>
      <x:c r="B77" s="149" t="s">
        <x:v>61</x:v>
      </x:c>
      <x:c r="C77" s="149" t="s">
        <x:v>108</x:v>
      </x:c>
      <x:c r="D77" s="149" t="s">
        <x:v>28</x:v>
      </x:c>
      <x:c r="E77" s="149" t="s">
        <x:v>130</x:v>
      </x:c>
      <x:c r="F77" s="149">
        <x:v>283</x:v>
      </x:c>
      <x:c r="G77" s="149">
        <x:v>117</x:v>
      </x:c>
      <x:c r="H77" s="149">
        <x:v>236</x:v>
      </x:c>
      <x:c r="I77" s="149">
        <x:v>47</x:v>
      </x:c>
      <x:c r="J77" s="149">
        <x:v>93</x:v>
      </x:c>
      <x:c r="K77" s="149">
        <x:v>24</x:v>
      </x:c>
      <x:c r="L77" s="151">
        <x:v>83.392200000000003</x:v>
      </x:c>
      <x:c r="M77" s="151">
        <x:v>20.512800000000002</x:v>
      </x:c>
      <x:c r="N77" s="151">
        <x:v>65</x:v>
      </x:c>
    </x:row>
    <x:row r="78" ht="14.25" customHeight="1">
      <x:c r="A78" s="150" t="s">
        <x:v>59</x:v>
      </x:c>
      <x:c r="B78" s="150" t="s">
        <x:v>61</x:v>
      </x:c>
      <x:c r="C78" s="150" t="s">
        <x:v>108</x:v>
      </x:c>
      <x:c r="D78" s="150" t="s">
        <x:v>28</x:v>
      </x:c>
      <x:c r="E78" s="150" t="s">
        <x:v>131</x:v>
      </x:c>
      <x:c r="F78" s="150">
        <x:v>283</x:v>
      </x:c>
      <x:c r="G78" s="150">
        <x:v>117</x:v>
      </x:c>
      <x:c r="H78" s="150">
        <x:v>195</x:v>
      </x:c>
      <x:c r="I78" s="150">
        <x:v>88</x:v>
      </x:c>
      <x:c r="J78" s="150">
        <x:v>105</x:v>
      </x:c>
      <x:c r="K78" s="150">
        <x:v>12</x:v>
      </x:c>
      <x:c r="L78" s="152">
        <x:v>68.904600000000002</x:v>
      </x:c>
      <x:c r="M78" s="152">
        <x:v>10.256400000000001</x:v>
      </x:c>
      <x:c r="N78" s="152">
        <x:v>51.749999999999993</x:v>
      </x:c>
    </x:row>
    <x:row r="79" ht="14.25" customHeight="1">
      <x:c r="A79" s="149" t="s">
        <x:v>64</x:v>
      </x:c>
      <x:c r="B79" s="149" t="s">
        <x:v>66</x:v>
      </x:c>
      <x:c r="C79" s="149" t="s">
        <x:v>110</x:v>
      </x:c>
      <x:c r="D79" s="149" t="s">
        <x:v>32</x:v>
      </x:c>
      <x:c r="E79" s="149" t="s">
        <x:v>127</x:v>
      </x:c>
      <x:c r="F79" s="149">
        <x:v>283</x:v>
      </x:c>
      <x:c r="G79" s="149">
        <x:v>117</x:v>
      </x:c>
      <x:c r="H79" s="149">
        <x:v>231</x:v>
      </x:c>
      <x:c r="I79" s="149">
        <x:v>52</x:v>
      </x:c>
      <x:c r="J79" s="149">
        <x:v>72</x:v>
      </x:c>
      <x:c r="K79" s="149">
        <x:v>45</x:v>
      </x:c>
      <x:c r="L79" s="151">
        <x:v>81.625399999999999</x:v>
      </x:c>
      <x:c r="M79" s="151">
        <x:v>38.461500000000001</x:v>
      </x:c>
      <x:c r="N79" s="151">
        <x:v>69</x:v>
      </x:c>
    </x:row>
    <x:row r="80" ht="14.25" customHeight="1">
      <x:c r="A80" s="150" t="s">
        <x:v>64</x:v>
      </x:c>
      <x:c r="B80" s="150" t="s">
        <x:v>66</x:v>
      </x:c>
      <x:c r="C80" s="150" t="s">
        <x:v>110</x:v>
      </x:c>
      <x:c r="D80" s="150" t="s">
        <x:v>32</x:v>
      </x:c>
      <x:c r="E80" s="150" t="s">
        <x:v>128</x:v>
      </x:c>
      <x:c r="F80" s="150">
        <x:v>283</x:v>
      </x:c>
      <x:c r="G80" s="150">
        <x:v>117</x:v>
      </x:c>
      <x:c r="H80" s="150">
        <x:v>242</x:v>
      </x:c>
      <x:c r="I80" s="150">
        <x:v>41</x:v>
      </x:c>
      <x:c r="J80" s="150">
        <x:v>85</x:v>
      </x:c>
      <x:c r="K80" s="150">
        <x:v>32</x:v>
      </x:c>
      <x:c r="L80" s="152">
        <x:v>85.5124</x:v>
      </x:c>
      <x:c r="M80" s="152">
        <x:v>27.350400000000004</x:v>
      </x:c>
      <x:c r="N80" s="152">
        <x:v>68.5</x:v>
      </x:c>
    </x:row>
    <x:row r="81" ht="14.25" customHeight="1">
      <x:c r="A81" s="149" t="s">
        <x:v>64</x:v>
      </x:c>
      <x:c r="B81" s="149" t="s">
        <x:v>66</x:v>
      </x:c>
      <x:c r="C81" s="149" t="s">
        <x:v>110</x:v>
      </x:c>
      <x:c r="D81" s="149" t="s">
        <x:v>32</x:v>
      </x:c>
      <x:c r="E81" s="149" t="s">
        <x:v>129</x:v>
      </x:c>
      <x:c r="F81" s="149">
        <x:v>283</x:v>
      </x:c>
      <x:c r="G81" s="149">
        <x:v>117</x:v>
      </x:c>
      <x:c r="H81" s="149">
        <x:v>236</x:v>
      </x:c>
      <x:c r="I81" s="149">
        <x:v>47</x:v>
      </x:c>
      <x:c r="J81" s="149">
        <x:v>111</x:v>
      </x:c>
      <x:c r="K81" s="149">
        <x:v>6</x:v>
      </x:c>
      <x:c r="L81" s="151">
        <x:v>83.392200000000003</x:v>
      </x:c>
      <x:c r="M81" s="151">
        <x:v>5.1282000000000005</x:v>
      </x:c>
      <x:c r="N81" s="151">
        <x:v>60.5</x:v>
      </x:c>
    </x:row>
    <x:row r="82" ht="14.25" customHeight="1">
      <x:c r="A82" s="150" t="s">
        <x:v>64</x:v>
      </x:c>
      <x:c r="B82" s="150" t="s">
        <x:v>66</x:v>
      </x:c>
      <x:c r="C82" s="150" t="s">
        <x:v>110</x:v>
      </x:c>
      <x:c r="D82" s="150" t="s">
        <x:v>32</x:v>
      </x:c>
      <x:c r="E82" s="150" t="s">
        <x:v>130</x:v>
      </x:c>
      <x:c r="F82" s="150">
        <x:v>283</x:v>
      </x:c>
      <x:c r="G82" s="150">
        <x:v>117</x:v>
      </x:c>
      <x:c r="H82" s="150">
        <x:v>234</x:v>
      </x:c>
      <x:c r="I82" s="150">
        <x:v>49</x:v>
      </x:c>
      <x:c r="J82" s="150">
        <x:v>74</x:v>
      </x:c>
      <x:c r="K82" s="150">
        <x:v>43</x:v>
      </x:c>
      <x:c r="L82" s="152">
        <x:v>82.685500000000005</x:v>
      </x:c>
      <x:c r="M82" s="152">
        <x:v>36.752099999999999</x:v>
      </x:c>
      <x:c r="N82" s="152">
        <x:v>69.25</x:v>
      </x:c>
    </x:row>
    <x:row r="83" ht="14.25" customHeight="1">
      <x:c r="A83" s="149" t="s">
        <x:v>64</x:v>
      </x:c>
      <x:c r="B83" s="149" t="s">
        <x:v>66</x:v>
      </x:c>
      <x:c r="C83" s="149" t="s">
        <x:v>110</x:v>
      </x:c>
      <x:c r="D83" s="149" t="s">
        <x:v>32</x:v>
      </x:c>
      <x:c r="E83" s="149" t="s">
        <x:v>131</x:v>
      </x:c>
      <x:c r="F83" s="149">
        <x:v>283</x:v>
      </x:c>
      <x:c r="G83" s="149">
        <x:v>117</x:v>
      </x:c>
      <x:c r="H83" s="149">
        <x:v>196</x:v>
      </x:c>
      <x:c r="I83" s="149">
        <x:v>87</x:v>
      </x:c>
      <x:c r="J83" s="149">
        <x:v>102</x:v>
      </x:c>
      <x:c r="K83" s="149">
        <x:v>15</x:v>
      </x:c>
      <x:c r="L83" s="151">
        <x:v>69.257999999999996</x:v>
      </x:c>
      <x:c r="M83" s="151">
        <x:v>12.820500000000001</x:v>
      </x:c>
      <x:c r="N83" s="151">
        <x:v>52.75</x:v>
      </x:c>
    </x:row>
    <x:row r="84" ht="14.25" customHeight="1">
      <x:c r="A84" s="150" t="s">
        <x:v>64</x:v>
      </x:c>
      <x:c r="B84" s="150" t="s">
        <x:v>66</x:v>
      </x:c>
      <x:c r="C84" s="150" t="s">
        <x:v>110</x:v>
      </x:c>
      <x:c r="D84" s="150" t="s">
        <x:v>34</x:v>
      </x:c>
      <x:c r="E84" s="150" t="s">
        <x:v>127</x:v>
      </x:c>
      <x:c r="F84" s="150">
        <x:v>283</x:v>
      </x:c>
      <x:c r="G84" s="150">
        <x:v>117</x:v>
      </x:c>
      <x:c r="H84" s="150">
        <x:v>235</x:v>
      </x:c>
      <x:c r="I84" s="150">
        <x:v>48</x:v>
      </x:c>
      <x:c r="J84" s="150">
        <x:v>65</x:v>
      </x:c>
      <x:c r="K84" s="150">
        <x:v>52</x:v>
      </x:c>
      <x:c r="L84" s="152">
        <x:v>83.038899999999998</x:v>
      </x:c>
      <x:c r="M84" s="152">
        <x:v>44.444400000000002</x:v>
      </x:c>
      <x:c r="N84" s="152">
        <x:v>71.75</x:v>
      </x:c>
    </x:row>
    <x:row r="85" ht="14.25" customHeight="1">
      <x:c r="A85" s="149" t="s">
        <x:v>64</x:v>
      </x:c>
      <x:c r="B85" s="149" t="s">
        <x:v>66</x:v>
      </x:c>
      <x:c r="C85" s="149" t="s">
        <x:v>110</x:v>
      </x:c>
      <x:c r="D85" s="149" t="s">
        <x:v>34</x:v>
      </x:c>
      <x:c r="E85" s="149" t="s">
        <x:v>128</x:v>
      </x:c>
      <x:c r="F85" s="149">
        <x:v>283</x:v>
      </x:c>
      <x:c r="G85" s="149">
        <x:v>117</x:v>
      </x:c>
      <x:c r="H85" s="149">
        <x:v>239</x:v>
      </x:c>
      <x:c r="I85" s="149">
        <x:v>44</x:v>
      </x:c>
      <x:c r="J85" s="149">
        <x:v>84</x:v>
      </x:c>
      <x:c r="K85" s="149">
        <x:v>33</x:v>
      </x:c>
      <x:c r="L85" s="151">
        <x:v>84.452300000000008</x:v>
      </x:c>
      <x:c r="M85" s="151">
        <x:v>28.205099999999998</x:v>
      </x:c>
      <x:c r="N85" s="151">
        <x:v>68</x:v>
      </x:c>
    </x:row>
    <x:row r="86" ht="14.25" customHeight="1">
      <x:c r="A86" s="150" t="s">
        <x:v>64</x:v>
      </x:c>
      <x:c r="B86" s="150" t="s">
        <x:v>66</x:v>
      </x:c>
      <x:c r="C86" s="150" t="s">
        <x:v>110</x:v>
      </x:c>
      <x:c r="D86" s="150" t="s">
        <x:v>34</x:v>
      </x:c>
      <x:c r="E86" s="150" t="s">
        <x:v>129</x:v>
      </x:c>
      <x:c r="F86" s="150">
        <x:v>283</x:v>
      </x:c>
      <x:c r="G86" s="150">
        <x:v>117</x:v>
      </x:c>
      <x:c r="H86" s="150">
        <x:v>234</x:v>
      </x:c>
      <x:c r="I86" s="150">
        <x:v>49</x:v>
      </x:c>
      <x:c r="J86" s="150">
        <x:v>112</x:v>
      </x:c>
      <x:c r="K86" s="150">
        <x:v>5</x:v>
      </x:c>
      <x:c r="L86" s="152">
        <x:v>82.685500000000005</x:v>
      </x:c>
      <x:c r="M86" s="152">
        <x:v>4.2735000000000003</x:v>
      </x:c>
      <x:c r="N86" s="152">
        <x:v>59.75</x:v>
      </x:c>
    </x:row>
    <x:row r="87" ht="14.25" customHeight="1">
      <x:c r="A87" s="149" t="s">
        <x:v>64</x:v>
      </x:c>
      <x:c r="B87" s="149" t="s">
        <x:v>66</x:v>
      </x:c>
      <x:c r="C87" s="149" t="s">
        <x:v>110</x:v>
      </x:c>
      <x:c r="D87" s="149" t="s">
        <x:v>34</x:v>
      </x:c>
      <x:c r="E87" s="149" t="s">
        <x:v>130</x:v>
      </x:c>
      <x:c r="F87" s="149">
        <x:v>283</x:v>
      </x:c>
      <x:c r="G87" s="149">
        <x:v>117</x:v>
      </x:c>
      <x:c r="H87" s="149">
        <x:v>234</x:v>
      </x:c>
      <x:c r="I87" s="149">
        <x:v>49</x:v>
      </x:c>
      <x:c r="J87" s="149">
        <x:v>79</x:v>
      </x:c>
      <x:c r="K87" s="149">
        <x:v>38</x:v>
      </x:c>
      <x:c r="L87" s="151">
        <x:v>82.685500000000005</x:v>
      </x:c>
      <x:c r="M87" s="151">
        <x:v>32.4786</x:v>
      </x:c>
      <x:c r="N87" s="151">
        <x:v>68</x:v>
      </x:c>
    </x:row>
    <x:row r="88" ht="14.25" customHeight="1">
      <x:c r="A88" s="150" t="s">
        <x:v>64</x:v>
      </x:c>
      <x:c r="B88" s="150" t="s">
        <x:v>66</x:v>
      </x:c>
      <x:c r="C88" s="150" t="s">
        <x:v>110</x:v>
      </x:c>
      <x:c r="D88" s="150" t="s">
        <x:v>34</x:v>
      </x:c>
      <x:c r="E88" s="150" t="s">
        <x:v>131</x:v>
      </x:c>
      <x:c r="F88" s="150">
        <x:v>283</x:v>
      </x:c>
      <x:c r="G88" s="150">
        <x:v>117</x:v>
      </x:c>
      <x:c r="H88" s="150">
        <x:v>193</x:v>
      </x:c>
      <x:c r="I88" s="150">
        <x:v>90</x:v>
      </x:c>
      <x:c r="J88" s="150">
        <x:v>102</x:v>
      </x:c>
      <x:c r="K88" s="150">
        <x:v>15</x:v>
      </x:c>
      <x:c r="L88" s="152">
        <x:v>68.197900000000004</x:v>
      </x:c>
      <x:c r="M88" s="152">
        <x:v>12.820500000000001</x:v>
      </x:c>
      <x:c r="N88" s="152">
        <x:v>52</x:v>
      </x:c>
    </x:row>
    <x:row r="89" ht="14.25" customHeight="1">
      <x:c r="A89" s="149" t="s">
        <x:v>68</x:v>
      </x:c>
      <x:c r="B89" s="149" t="s">
        <x:v>70</x:v>
      </x:c>
      <x:c r="C89" s="149" t="s">
        <x:v>108</x:v>
      </x:c>
      <x:c r="D89" s="149" t="s">
        <x:v>32</x:v>
      </x:c>
      <x:c r="E89" s="149" t="s">
        <x:v>127</x:v>
      </x:c>
      <x:c r="F89" s="149">
        <x:v>283</x:v>
      </x:c>
      <x:c r="G89" s="149">
        <x:v>117</x:v>
      </x:c>
      <x:c r="H89" s="149">
        <x:v>237</x:v>
      </x:c>
      <x:c r="I89" s="149">
        <x:v>46</x:v>
      </x:c>
      <x:c r="J89" s="149">
        <x:v>66</x:v>
      </x:c>
      <x:c r="K89" s="149">
        <x:v>51</x:v>
      </x:c>
      <x:c r="L89" s="151">
        <x:v>83.745599999999996</x:v>
      </x:c>
      <x:c r="M89" s="151">
        <x:v>43.589700000000001</x:v>
      </x:c>
      <x:c r="N89" s="151">
        <x:v>72</x:v>
      </x:c>
    </x:row>
    <x:row r="90" ht="14.25" customHeight="1">
      <x:c r="A90" s="150" t="s">
        <x:v>68</x:v>
      </x:c>
      <x:c r="B90" s="150" t="s">
        <x:v>70</x:v>
      </x:c>
      <x:c r="C90" s="150" t="s">
        <x:v>108</x:v>
      </x:c>
      <x:c r="D90" s="150" t="s">
        <x:v>32</x:v>
      </x:c>
      <x:c r="E90" s="150" t="s">
        <x:v>128</x:v>
      </x:c>
      <x:c r="F90" s="150">
        <x:v>283</x:v>
      </x:c>
      <x:c r="G90" s="150">
        <x:v>117</x:v>
      </x:c>
      <x:c r="H90" s="150">
        <x:v>242</x:v>
      </x:c>
      <x:c r="I90" s="150">
        <x:v>41</x:v>
      </x:c>
      <x:c r="J90" s="150">
        <x:v>84</x:v>
      </x:c>
      <x:c r="K90" s="150">
        <x:v>33</x:v>
      </x:c>
      <x:c r="L90" s="152">
        <x:v>85.5124</x:v>
      </x:c>
      <x:c r="M90" s="152">
        <x:v>28.205099999999998</x:v>
      </x:c>
      <x:c r="N90" s="152">
        <x:v>68.75</x:v>
      </x:c>
    </x:row>
    <x:row r="91" ht="14.25" customHeight="1">
      <x:c r="A91" s="149" t="s">
        <x:v>68</x:v>
      </x:c>
      <x:c r="B91" s="149" t="s">
        <x:v>70</x:v>
      </x:c>
      <x:c r="C91" s="149" t="s">
        <x:v>108</x:v>
      </x:c>
      <x:c r="D91" s="149" t="s">
        <x:v>32</x:v>
      </x:c>
      <x:c r="E91" s="149" t="s">
        <x:v>129</x:v>
      </x:c>
      <x:c r="F91" s="149">
        <x:v>283</x:v>
      </x:c>
      <x:c r="G91" s="149">
        <x:v>117</x:v>
      </x:c>
      <x:c r="H91" s="149">
        <x:v>238</x:v>
      </x:c>
      <x:c r="I91" s="149">
        <x:v>45</x:v>
      </x:c>
      <x:c r="J91" s="149">
        <x:v>111</x:v>
      </x:c>
      <x:c r="K91" s="149">
        <x:v>6</x:v>
      </x:c>
      <x:c r="L91" s="151">
        <x:v>84.0989</x:v>
      </x:c>
      <x:c r="M91" s="151">
        <x:v>5.1282000000000005</x:v>
      </x:c>
      <x:c r="N91" s="151">
        <x:v>61</x:v>
      </x:c>
    </x:row>
    <x:row r="92" ht="14.25" customHeight="1">
      <x:c r="A92" s="150" t="s">
        <x:v>68</x:v>
      </x:c>
      <x:c r="B92" s="150" t="s">
        <x:v>70</x:v>
      </x:c>
      <x:c r="C92" s="150" t="s">
        <x:v>108</x:v>
      </x:c>
      <x:c r="D92" s="150" t="s">
        <x:v>32</x:v>
      </x:c>
      <x:c r="E92" s="150" t="s">
        <x:v>130</x:v>
      </x:c>
      <x:c r="F92" s="150">
        <x:v>283</x:v>
      </x:c>
      <x:c r="G92" s="150">
        <x:v>117</x:v>
      </x:c>
      <x:c r="H92" s="150">
        <x:v>235</x:v>
      </x:c>
      <x:c r="I92" s="150">
        <x:v>48</x:v>
      </x:c>
      <x:c r="J92" s="150">
        <x:v>81</x:v>
      </x:c>
      <x:c r="K92" s="150">
        <x:v>36</x:v>
      </x:c>
      <x:c r="L92" s="152">
        <x:v>83.038899999999998</x:v>
      </x:c>
      <x:c r="M92" s="152">
        <x:v>30.769200000000001</x:v>
      </x:c>
      <x:c r="N92" s="152">
        <x:v>67.75</x:v>
      </x:c>
    </x:row>
    <x:row r="93" ht="14.25" customHeight="1">
      <x:c r="A93" s="149" t="s">
        <x:v>68</x:v>
      </x:c>
      <x:c r="B93" s="149" t="s">
        <x:v>70</x:v>
      </x:c>
      <x:c r="C93" s="149" t="s">
        <x:v>108</x:v>
      </x:c>
      <x:c r="D93" s="149" t="s">
        <x:v>32</x:v>
      </x:c>
      <x:c r="E93" s="149" t="s">
        <x:v>131</x:v>
      </x:c>
      <x:c r="F93" s="149">
        <x:v>283</x:v>
      </x:c>
      <x:c r="G93" s="149">
        <x:v>117</x:v>
      </x:c>
      <x:c r="H93" s="149">
        <x:v>196</x:v>
      </x:c>
      <x:c r="I93" s="149">
        <x:v>87</x:v>
      </x:c>
      <x:c r="J93" s="149">
        <x:v>102</x:v>
      </x:c>
      <x:c r="K93" s="149">
        <x:v>15</x:v>
      </x:c>
      <x:c r="L93" s="151">
        <x:v>69.257999999999996</x:v>
      </x:c>
      <x:c r="M93" s="151">
        <x:v>12.820500000000001</x:v>
      </x:c>
      <x:c r="N93" s="151">
        <x:v>52.75</x:v>
      </x:c>
    </x:row>
    <x:row r="94" ht="14.25" customHeight="1">
      <x:c r="A94" s="150" t="s">
        <x:v>68</x:v>
      </x:c>
      <x:c r="B94" s="150" t="s">
        <x:v>70</x:v>
      </x:c>
      <x:c r="C94" s="150" t="s">
        <x:v>108</x:v>
      </x:c>
      <x:c r="D94" s="150" t="s">
        <x:v>34</x:v>
      </x:c>
      <x:c r="E94" s="150" t="s">
        <x:v>127</x:v>
      </x:c>
      <x:c r="F94" s="150">
        <x:v>283</x:v>
      </x:c>
      <x:c r="G94" s="150">
        <x:v>117</x:v>
      </x:c>
      <x:c r="H94" s="150">
        <x:v>244</x:v>
      </x:c>
      <x:c r="I94" s="150">
        <x:v>39</x:v>
      </x:c>
      <x:c r="J94" s="150">
        <x:v>62</x:v>
      </x:c>
      <x:c r="K94" s="150">
        <x:v>55</x:v>
      </x:c>
      <x:c r="L94" s="152">
        <x:v>86.219099999999997</x:v>
      </x:c>
      <x:c r="M94" s="152">
        <x:v>47.008499999999998</x:v>
      </x:c>
      <x:c r="N94" s="152">
        <x:v>74.75</x:v>
      </x:c>
    </x:row>
    <x:row r="95" ht="14.25" customHeight="1">
      <x:c r="A95" s="149" t="s">
        <x:v>68</x:v>
      </x:c>
      <x:c r="B95" s="149" t="s">
        <x:v>70</x:v>
      </x:c>
      <x:c r="C95" s="149" t="s">
        <x:v>108</x:v>
      </x:c>
      <x:c r="D95" s="149" t="s">
        <x:v>34</x:v>
      </x:c>
      <x:c r="E95" s="149" t="s">
        <x:v>128</x:v>
      </x:c>
      <x:c r="F95" s="149">
        <x:v>283</x:v>
      </x:c>
      <x:c r="G95" s="149">
        <x:v>117</x:v>
      </x:c>
      <x:c r="H95" s="149">
        <x:v>237</x:v>
      </x:c>
      <x:c r="I95" s="149">
        <x:v>46</x:v>
      </x:c>
      <x:c r="J95" s="149">
        <x:v>83</x:v>
      </x:c>
      <x:c r="K95" s="149">
        <x:v>34</x:v>
      </x:c>
      <x:c r="L95" s="151">
        <x:v>83.745599999999996</x:v>
      </x:c>
      <x:c r="M95" s="151">
        <x:v>29.059800000000003</x:v>
      </x:c>
      <x:c r="N95" s="151">
        <x:v>67.75</x:v>
      </x:c>
    </x:row>
    <x:row r="96" ht="14.25" customHeight="1">
      <x:c r="A96" s="150" t="s">
        <x:v>68</x:v>
      </x:c>
      <x:c r="B96" s="150" t="s">
        <x:v>70</x:v>
      </x:c>
      <x:c r="C96" s="150" t="s">
        <x:v>108</x:v>
      </x:c>
      <x:c r="D96" s="150" t="s">
        <x:v>34</x:v>
      </x:c>
      <x:c r="E96" s="150" t="s">
        <x:v>129</x:v>
      </x:c>
      <x:c r="F96" s="150">
        <x:v>283</x:v>
      </x:c>
      <x:c r="G96" s="150">
        <x:v>117</x:v>
      </x:c>
      <x:c r="H96" s="150">
        <x:v>235</x:v>
      </x:c>
      <x:c r="I96" s="150">
        <x:v>48</x:v>
      </x:c>
      <x:c r="J96" s="150">
        <x:v>112</x:v>
      </x:c>
      <x:c r="K96" s="150">
        <x:v>5</x:v>
      </x:c>
      <x:c r="L96" s="152">
        <x:v>83.038899999999998</x:v>
      </x:c>
      <x:c r="M96" s="152">
        <x:v>4.2735000000000003</x:v>
      </x:c>
      <x:c r="N96" s="152">
        <x:v>60</x:v>
      </x:c>
    </x:row>
    <x:row r="97" ht="14.25" customHeight="1">
      <x:c r="A97" s="149" t="s">
        <x:v>68</x:v>
      </x:c>
      <x:c r="B97" s="149" t="s">
        <x:v>70</x:v>
      </x:c>
      <x:c r="C97" s="149" t="s">
        <x:v>108</x:v>
      </x:c>
      <x:c r="D97" s="149" t="s">
        <x:v>34</x:v>
      </x:c>
      <x:c r="E97" s="149" t="s">
        <x:v>130</x:v>
      </x:c>
      <x:c r="F97" s="149">
        <x:v>283</x:v>
      </x:c>
      <x:c r="G97" s="149">
        <x:v>117</x:v>
      </x:c>
      <x:c r="H97" s="149">
        <x:v>234</x:v>
      </x:c>
      <x:c r="I97" s="149">
        <x:v>49</x:v>
      </x:c>
      <x:c r="J97" s="149">
        <x:v>84</x:v>
      </x:c>
      <x:c r="K97" s="149">
        <x:v>33</x:v>
      </x:c>
      <x:c r="L97" s="151">
        <x:v>82.685500000000005</x:v>
      </x:c>
      <x:c r="M97" s="151">
        <x:v>28.205099999999998</x:v>
      </x:c>
      <x:c r="N97" s="151">
        <x:v>66.75</x:v>
      </x:c>
    </x:row>
    <x:row r="98" ht="14.25" customHeight="1">
      <x:c r="A98" s="150" t="s">
        <x:v>68</x:v>
      </x:c>
      <x:c r="B98" s="150" t="s">
        <x:v>70</x:v>
      </x:c>
      <x:c r="C98" s="150" t="s">
        <x:v>108</x:v>
      </x:c>
      <x:c r="D98" s="150" t="s">
        <x:v>34</x:v>
      </x:c>
      <x:c r="E98" s="150" t="s">
        <x:v>131</x:v>
      </x:c>
      <x:c r="F98" s="150">
        <x:v>283</x:v>
      </x:c>
      <x:c r="G98" s="150">
        <x:v>117</x:v>
      </x:c>
      <x:c r="H98" s="150">
        <x:v>193</x:v>
      </x:c>
      <x:c r="I98" s="150">
        <x:v>90</x:v>
      </x:c>
      <x:c r="J98" s="150">
        <x:v>103</x:v>
      </x:c>
      <x:c r="K98" s="150">
        <x:v>14</x:v>
      </x:c>
      <x:c r="L98" s="152">
        <x:v>68.197900000000004</x:v>
      </x:c>
      <x:c r="M98" s="152">
        <x:v>11.9658</x:v>
      </x:c>
      <x:c r="N98" s="152">
        <x:v>51.749999999999993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e6fa7f917d7e448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2" width="25.125" customWidth="1"/>
    <x:col min="3" max="3" width="17.125" customWidth="1"/>
    <x:col min="4" max="4" width="16.375" customWidth="1"/>
    <x:col min="5" max="7" width="11.75" customWidth="1"/>
    <x:col min="8" max="8" width="16.625" customWidth="1"/>
    <x:col min="9" max="9" width="14.125" customWidth="1"/>
    <x:col min="10" max="10" width="11.375" customWidth="1"/>
    <x:col min="11" max="12" width="11.25" customWidth="1"/>
    <x:col min="13" max="13" width="16.125" customWidth="1"/>
    <x:col min="14" max="14" width="13.625" customWidth="1"/>
    <x:col min="15" max="15" width="11.5" customWidth="1"/>
    <x:col min="16" max="17" width="11.375" customWidth="1"/>
    <x:col min="18" max="18" width="16.25" customWidth="1"/>
    <x:col min="19" max="19" width="13.75" customWidth="1"/>
    <x:col min="20" max="20" width="14.5" customWidth="1"/>
    <x:col min="21" max="21" width="15.75" customWidth="1"/>
    <x:col min="22" max="22" width="15.625" customWidth="1"/>
    <x:col min="23" max="23" width="22.25" customWidth="1"/>
    <x:col min="24" max="24" width="22.5" customWidth="1"/>
  </x:cols>
  <x:sheetData>
    <x:row r="1" ht="14.25" customHeight="1">
      <x:c r="A1" s="1" t="s">
        <x:v>150</x:v>
      </x:c>
      <x:c r="B1" s="2" t="s">
        <x:v>151</x:v>
      </x:c>
      <x:c r="C1" s="2" t="s">
        <x:v>152</x:v>
      </x:c>
      <x:c r="D1" s="2" t="s">
        <x:v>153</x:v>
      </x:c>
      <x:c r="E1" s="2" t="s">
        <x:v>154</x:v>
      </x:c>
      <x:c r="F1" s="2" t="s">
        <x:v>155</x:v>
      </x:c>
      <x:c r="G1" s="2" t="s">
        <x:v>156</x:v>
      </x:c>
      <x:c r="H1" s="2" t="s">
        <x:v>157</x:v>
      </x:c>
      <x:c r="I1" s="2" t="s">
        <x:v>158</x:v>
      </x:c>
      <x:c r="J1" s="2" t="s">
        <x:v>159</x:v>
      </x:c>
      <x:c r="K1" s="2" t="s">
        <x:v>160</x:v>
      </x:c>
      <x:c r="L1" s="2" t="s">
        <x:v>161</x:v>
      </x:c>
      <x:c r="M1" s="2" t="s">
        <x:v>162</x:v>
      </x:c>
      <x:c r="N1" s="2" t="s">
        <x:v>163</x:v>
      </x:c>
      <x:c r="O1" s="2" t="s">
        <x:v>164</x:v>
      </x:c>
      <x:c r="P1" s="2" t="s">
        <x:v>165</x:v>
      </x:c>
      <x:c r="Q1" s="2" t="s">
        <x:v>166</x:v>
      </x:c>
      <x:c r="R1" s="2" t="s">
        <x:v>167</x:v>
      </x:c>
      <x:c r="S1" s="2" t="s">
        <x:v>168</x:v>
      </x:c>
      <x:c r="T1" s="2" t="s">
        <x:v>169</x:v>
      </x:c>
      <x:c r="U1" s="2" t="s">
        <x:v>170</x:v>
      </x:c>
      <x:c r="V1" s="2" t="s">
        <x:v>171</x:v>
      </x:c>
      <x:c r="W1" s="2" t="s">
        <x:v>172</x:v>
      </x:c>
      <x:c r="X1" s="3" t="s">
        <x:v>173</x:v>
      </x:c>
    </x:row>
    <x:row r="2" ht="14.25" customHeight="1">
      <x:c r="A2" s="131" t="s">
        <x:v>19</x:v>
      </x:c>
      <x:c r="B2" s="131" t="s">
        <x:v>174</x:v>
      </x:c>
      <x:c r="C2" s="131">
        <x:v>283</x:v>
      </x:c>
      <x:c r="D2" s="131">
        <x:v>117</x:v>
      </x:c>
      <x:c r="E2" s="131">
        <x:v>514</x:v>
      </x:c>
      <x:c r="F2" s="131">
        <x:v>126</x:v>
      </x:c>
      <x:c r="G2" s="131">
        <x:v>92</x:v>
      </x:c>
      <x:c r="H2" s="155">
        <x:v>0.80312499999999998</x:v>
      </x:c>
      <x:c r="I2" s="155">
        <x:v>0.84818499999999997</x:v>
      </x:c>
      <x:c r="J2" s="155">
        <x:v>546</x:v>
      </x:c>
      <x:c r="K2" s="155">
        <x:v>193</x:v>
      </x:c>
      <x:c r="L2" s="155">
        <x:v>164</x:v>
      </x:c>
      <x:c r="M2" s="155">
        <x:v>0.73883600000000005</x:v>
      </x:c>
      <x:c r="N2" s="155">
        <x:v>0.76901399999999998</x:v>
      </x:c>
      <x:c r="O2" s="155">
        <x:v>362</x:v>
      </x:c>
      <x:c r="P2" s="155">
        <x:v>9</x:v>
      </x:c>
      <x:c r="Q2" s="155">
        <x:v>20</x:v>
      </x:c>
      <x:c r="R2" s="155">
        <x:v>0.97574099999999997</x:v>
      </x:c>
      <x:c r="S2" s="155">
        <x:v>0.94764400000000004</x:v>
      </x:c>
      <x:c r="T2" s="155">
        <x:v>107</x:v>
      </x:c>
      <x:c r="U2" s="155">
        <x:v>176</x:v>
      </x:c>
      <x:c r="V2" s="155">
        <x:v>0.37809199999999998</x:v>
      </x:c>
      <x:c r="W2" s="155">
        <x:v>0.32358399999999998</x:v>
      </x:c>
      <x:c r="X2" s="155">
        <x:v>0.435865</x:v>
      </x:c>
    </x:row>
    <x:row r="3" ht="14.25" customHeight="1">
      <x:c r="A3" s="136" t="s">
        <x:v>26</x:v>
      </x:c>
      <x:c r="B3" s="136" t="s">
        <x:v>26</x:v>
      </x:c>
      <x:c r="C3" s="136">
        <x:v>283</x:v>
      </x:c>
      <x:c r="D3" s="136">
        <x:v>117</x:v>
      </x:c>
      <x:c r="E3" s="136">
        <x:v>546</x:v>
      </x:c>
      <x:c r="F3" s="136">
        <x:v>36</x:v>
      </x:c>
      <x:c r="G3" s="136">
        <x:v>60</x:v>
      </x:c>
      <x:c r="H3" s="156">
        <x:v>0.93814399999999998</x:v>
      </x:c>
      <x:c r="I3" s="156">
        <x:v>0.90098999999999996</x:v>
      </x:c>
      <x:c r="J3" s="156">
        <x:v>612</x:v>
      </x:c>
      <x:c r="K3" s="156">
        <x:v>25</x:v>
      </x:c>
      <x:c r="L3" s="156">
        <x:v>95</x:v>
      </x:c>
      <x:c r="M3" s="156">
        <x:v>0.960754</x:v>
      </x:c>
      <x:c r="N3" s="156">
        <x:v>0.86562899999999998</x:v>
      </x:c>
      <x:c r="O3" s="156">
        <x:v>356</x:v>
      </x:c>
      <x:c r="P3" s="156">
        <x:v>6</x:v>
      </x:c>
      <x:c r="Q3" s="156">
        <x:v>26</x:v>
      </x:c>
      <x:c r="R3" s="156">
        <x:v>0.98342499999999999</x:v>
      </x:c>
      <x:c r="S3" s="156">
        <x:v>0.93193700000000002</x:v>
      </x:c>
      <x:c r="T3" s="156">
        <x:v>206</x:v>
      </x:c>
      <x:c r="U3" s="156">
        <x:v>77</x:v>
      </x:c>
      <x:c r="V3" s="156">
        <x:v>0.72791499999999998</x:v>
      </x:c>
      <x:c r="W3" s="156">
        <x:v>0.67327099999999995</x:v>
      </x:c>
      <x:c r="X3" s="156">
        <x:v>0.77645500000000001</x:v>
      </x:c>
    </x:row>
    <x:row r="4" ht="14.25" customHeight="1">
      <x:c r="A4" s="139" t="s">
        <x:v>31</x:v>
      </x:c>
      <x:c r="B4" s="139" t="s">
        <x:v>31</x:v>
      </x:c>
      <x:c r="C4" s="139">
        <x:v>283</x:v>
      </x:c>
      <x:c r="D4" s="139">
        <x:v>117</x:v>
      </x:c>
      <x:c r="E4" s="139">
        <x:v>535</x:v>
      </x:c>
      <x:c r="F4" s="139">
        <x:v>33</x:v>
      </x:c>
      <x:c r="G4" s="139">
        <x:v>71</x:v>
      </x:c>
      <x:c r="H4" s="157">
        <x:v>0.94190099999999999</x:v>
      </x:c>
      <x:c r="I4" s="157">
        <x:v>0.88283800000000001</x:v>
      </x:c>
      <x:c r="J4" s="157">
        <x:v>609</x:v>
      </x:c>
      <x:c r="K4" s="157">
        <x:v>16</x:v>
      </x:c>
      <x:c r="L4" s="157">
        <x:v>98</x:v>
      </x:c>
      <x:c r="M4" s="157">
        <x:v>0.97440000000000004</x:v>
      </x:c>
      <x:c r="N4" s="157">
        <x:v>0.86138599999999999</x:v>
      </x:c>
      <x:c r="O4" s="157">
        <x:v>351</x:v>
      </x:c>
      <x:c r="P4" s="157">
        <x:v>5</x:v>
      </x:c>
      <x:c r="Q4" s="157">
        <x:v>31</x:v>
      </x:c>
      <x:c r="R4" s="157">
        <x:v>0.98595500000000003</x:v>
      </x:c>
      <x:c r="S4" s="157">
        <x:v>0.918848</x:v>
      </x:c>
      <x:c r="T4" s="157">
        <x:v>209</x:v>
      </x:c>
      <x:c r="U4" s="157">
        <x:v>74</x:v>
      </x:c>
      <x:c r="V4" s="157">
        <x:v>0.73851599999999995</x:v>
      </x:c>
      <x:c r="W4" s="157">
        <x:v>0.68436699999999995</x:v>
      </x:c>
      <x:c r="X4" s="157">
        <x:v>0.78627599999999997</x:v>
      </x:c>
    </x:row>
    <x:row r="5" ht="14.25" customHeight="1">
      <x:c r="A5" s="136" t="s">
        <x:v>33</x:v>
      </x:c>
      <x:c r="B5" s="136" t="s">
        <x:v>33</x:v>
      </x:c>
      <x:c r="C5" s="136">
        <x:v>283</x:v>
      </x:c>
      <x:c r="D5" s="136">
        <x:v>117</x:v>
      </x:c>
      <x:c r="E5" s="136">
        <x:v>521</x:v>
      </x:c>
      <x:c r="F5" s="136">
        <x:v>24</x:v>
      </x:c>
      <x:c r="G5" s="136">
        <x:v>85</x:v>
      </x:c>
      <x:c r="H5" s="156">
        <x:v>0.95596300000000001</x:v>
      </x:c>
      <x:c r="I5" s="156">
        <x:v>0.85973599999999994</x:v>
      </x:c>
      <x:c r="J5" s="156">
        <x:v>581</x:v>
      </x:c>
      <x:c r="K5" s="156">
        <x:v>19</x:v>
      </x:c>
      <x:c r="L5" s="156">
        <x:v>125</x:v>
      </x:c>
      <x:c r="M5" s="156">
        <x:v>0.968333</x:v>
      </x:c>
      <x:c r="N5" s="156">
        <x:v>0.82294599999999996</x:v>
      </x:c>
      <x:c r="O5" s="156">
        <x:v>338</x:v>
      </x:c>
      <x:c r="P5" s="156">
        <x:v>3</x:v>
      </x:c>
      <x:c r="Q5" s="156">
        <x:v>44</x:v>
      </x:c>
      <x:c r="R5" s="156">
        <x:v>0.99120200000000003</x:v>
      </x:c>
      <x:c r="S5" s="156">
        <x:v>0.88481699999999996</x:v>
      </x:c>
      <x:c r="T5" s="156">
        <x:v>200</x:v>
      </x:c>
      <x:c r="U5" s="156">
        <x:v>83</x:v>
      </x:c>
      <x:c r="V5" s="156">
        <x:v>0.70671399999999995</x:v>
      </x:c>
      <x:c r="W5" s="156">
        <x:v>0.65118699999999996</x:v>
      </x:c>
      <x:c r="X5" s="156">
        <x:v>0.75670400000000004</x:v>
      </x:c>
    </x:row>
    <x:row r="6" ht="14.25" customHeight="1">
      <x:c r="A6" s="139" t="s">
        <x:v>35</x:v>
      </x:c>
      <x:c r="B6" s="139" t="s">
        <x:v>35</x:v>
      </x:c>
      <x:c r="C6" s="139">
        <x:v>283</x:v>
      </x:c>
      <x:c r="D6" s="139">
        <x:v>117</x:v>
      </x:c>
      <x:c r="E6" s="139">
        <x:v>534</x:v>
      </x:c>
      <x:c r="F6" s="139">
        <x:v>23</x:v>
      </x:c>
      <x:c r="G6" s="139">
        <x:v>72</x:v>
      </x:c>
      <x:c r="H6" s="157">
        <x:v>0.95870699999999998</x:v>
      </x:c>
      <x:c r="I6" s="157">
        <x:v>0.88118799999999997</x:v>
      </x:c>
      <x:c r="J6" s="157">
        <x:v>618</x:v>
      </x:c>
      <x:c r="K6" s="157">
        <x:v>17</x:v>
      </x:c>
      <x:c r="L6" s="157">
        <x:v>89</x:v>
      </x:c>
      <x:c r="M6" s="157">
        <x:v>0.97322799999999998</x:v>
      </x:c>
      <x:c r="N6" s="157">
        <x:v>0.874116</x:v>
      </x:c>
      <x:c r="O6" s="157">
        <x:v>345</x:v>
      </x:c>
      <x:c r="P6" s="157">
        <x:v>4</x:v>
      </x:c>
      <x:c r="Q6" s="157">
        <x:v>37</x:v>
      </x:c>
      <x:c r="R6" s="157">
        <x:v>0.98853899999999995</x:v>
      </x:c>
      <x:c r="S6" s="157">
        <x:v>0.90314099999999997</x:v>
      </x:c>
      <x:c r="T6" s="157">
        <x:v>216</x:v>
      </x:c>
      <x:c r="U6" s="157">
        <x:v>67</x:v>
      </x:c>
      <x:c r="V6" s="157">
        <x:v>0.76325100000000001</x:v>
      </x:c>
      <x:c r="W6" s="157">
        <x:v>0.71040599999999998</x:v>
      </x:c>
      <x:c r="X6" s="157">
        <x:v>0.80904500000000001</x:v>
      </x:c>
    </x:row>
    <x:row r="7" ht="14.25" customHeight="1">
      <x:c r="A7" s="136" t="s">
        <x:v>37</x:v>
      </x:c>
      <x:c r="B7" s="136" t="s">
        <x:v>37</x:v>
      </x:c>
      <x:c r="C7" s="136">
        <x:v>283</x:v>
      </x:c>
      <x:c r="D7" s="136">
        <x:v>117</x:v>
      </x:c>
      <x:c r="E7" s="136">
        <x:v>544</x:v>
      </x:c>
      <x:c r="F7" s="136">
        <x:v>25</x:v>
      </x:c>
      <x:c r="G7" s="136">
        <x:v>62</x:v>
      </x:c>
      <x:c r="H7" s="156">
        <x:v>0.956063</x:v>
      </x:c>
      <x:c r="I7" s="156">
        <x:v>0.89768999999999999</x:v>
      </x:c>
      <x:c r="J7" s="156">
        <x:v>626</x:v>
      </x:c>
      <x:c r="K7" s="156">
        <x:v>19</x:v>
      </x:c>
      <x:c r="L7" s="156">
        <x:v>81</x:v>
      </x:c>
      <x:c r="M7" s="156">
        <x:v>0.97054300000000004</x:v>
      </x:c>
      <x:c r="N7" s="156">
        <x:v>0.88543099999999997</x:v>
      </x:c>
      <x:c r="O7" s="156">
        <x:v>352</x:v>
      </x:c>
      <x:c r="P7" s="156">
        <x:v>4</x:v>
      </x:c>
      <x:c r="Q7" s="156">
        <x:v>30</x:v>
      </x:c>
      <x:c r="R7" s="156">
        <x:v>0.98876399999999998</x:v>
      </x:c>
      <x:c r="S7" s="156">
        <x:v>0.92146600000000001</x:v>
      </x:c>
      <x:c r="T7" s="156">
        <x:v>219</x:v>
      </x:c>
      <x:c r="U7" s="156">
        <x:v>64</x:v>
      </x:c>
      <x:c r="V7" s="156">
        <x:v>0.77385199999999998</x:v>
      </x:c>
      <x:c r="W7" s="156">
        <x:v>0.72163299999999997</x:v>
      </x:c>
      <x:c r="X7" s="156">
        <x:v>0.81873499999999999</x:v>
      </x:c>
    </x:row>
    <x:row r="8" ht="14.25" customHeight="1">
      <x:c r="A8" s="139" t="s">
        <x:v>38</x:v>
      </x:c>
      <x:c r="B8" s="139" t="s">
        <x:v>38</x:v>
      </x:c>
      <x:c r="C8" s="139">
        <x:v>283</x:v>
      </x:c>
      <x:c r="D8" s="139">
        <x:v>117</x:v>
      </x:c>
      <x:c r="E8" s="139">
        <x:v>544</x:v>
      </x:c>
      <x:c r="F8" s="139">
        <x:v>22</x:v>
      </x:c>
      <x:c r="G8" s="139">
        <x:v>62</x:v>
      </x:c>
      <x:c r="H8" s="157">
        <x:v>0.96113099999999996</x:v>
      </x:c>
      <x:c r="I8" s="157">
        <x:v>0.89768999999999999</x:v>
      </x:c>
      <x:c r="J8" s="157">
        <x:v>626</x:v>
      </x:c>
      <x:c r="K8" s="157">
        <x:v>20</x:v>
      </x:c>
      <x:c r="L8" s="157">
        <x:v>82</x:v>
      </x:c>
      <x:c r="M8" s="157">
        <x:v>0.96904000000000001</x:v>
      </x:c>
      <x:c r="N8" s="157">
        <x:v>0.88418099999999999</x:v>
      </x:c>
      <x:c r="O8" s="157">
        <x:v>352</x:v>
      </x:c>
      <x:c r="P8" s="157">
        <x:v>2</x:v>
      </x:c>
      <x:c r="Q8" s="157">
        <x:v>30</x:v>
      </x:c>
      <x:c r="R8" s="157">
        <x:v>0.99434999999999996</x:v>
      </x:c>
      <x:c r="S8" s="157">
        <x:v>0.92146600000000001</x:v>
      </x:c>
      <x:c r="T8" s="157">
        <x:v>220</x:v>
      </x:c>
      <x:c r="U8" s="157">
        <x:v>63</x:v>
      </x:c>
      <x:c r="V8" s="157">
        <x:v>0.77738499999999999</x:v>
      </x:c>
      <x:c r="W8" s="157">
        <x:v>0.72538499999999995</x:v>
      </x:c>
      <x:c r="X8" s="157">
        <x:v>0.82195499999999999</x:v>
      </x:c>
    </x:row>
    <x:row r="9" ht="14.25" customHeight="1">
      <x:c r="A9" s="136" t="s">
        <x:v>40</x:v>
      </x:c>
      <x:c r="B9" s="136" t="s">
        <x:v>40</x:v>
      </x:c>
      <x:c r="C9" s="136">
        <x:v>283</x:v>
      </x:c>
      <x:c r="D9" s="136">
        <x:v>117</x:v>
      </x:c>
      <x:c r="E9" s="136">
        <x:v>545</x:v>
      </x:c>
      <x:c r="F9" s="136">
        <x:v>26</x:v>
      </x:c>
      <x:c r="G9" s="136">
        <x:v>61</x:v>
      </x:c>
      <x:c r="H9" s="156">
        <x:v>0.95446600000000004</x:v>
      </x:c>
      <x:c r="I9" s="156">
        <x:v>0.89934000000000003</x:v>
      </x:c>
      <x:c r="J9" s="156">
        <x:v>609</x:v>
      </x:c>
      <x:c r="K9" s="156">
        <x:v>25</x:v>
      </x:c>
      <x:c r="L9" s="156">
        <x:v>97</x:v>
      </x:c>
      <x:c r="M9" s="156">
        <x:v>0.96056799999999998</x:v>
      </x:c>
      <x:c r="N9" s="156">
        <x:v>0.86260599999999998</x:v>
      </x:c>
      <x:c r="O9" s="156">
        <x:v>354</x:v>
      </x:c>
      <x:c r="P9" s="156">
        <x:v>3</x:v>
      </x:c>
      <x:c r="Q9" s="156">
        <x:v>28</x:v>
      </x:c>
      <x:c r="R9" s="156">
        <x:v>0.99159699999999995</x:v>
      </x:c>
      <x:c r="S9" s="156">
        <x:v>0.92670200000000003</x:v>
      </x:c>
      <x:c r="T9" s="156">
        <x:v>194</x:v>
      </x:c>
      <x:c r="U9" s="156">
        <x:v>89</x:v>
      </x:c>
      <x:c r="V9" s="156">
        <x:v>0.68551200000000001</x:v>
      </x:c>
      <x:c r="W9" s="156">
        <x:v>0.62923799999999996</x:v>
      </x:c>
      <x:c r="X9" s="156">
        <x:v>0.73681799999999997</x:v>
      </x:c>
    </x:row>
    <x:row r="10" ht="14.25" customHeight="1">
      <x:c r="A10" s="139" t="s">
        <x:v>44</x:v>
      </x:c>
      <x:c r="B10" s="139" t="s">
        <x:v>44</x:v>
      </x:c>
      <x:c r="C10" s="139">
        <x:v>283</x:v>
      </x:c>
      <x:c r="D10" s="139">
        <x:v>117</x:v>
      </x:c>
      <x:c r="E10" s="139">
        <x:v>572</x:v>
      </x:c>
      <x:c r="F10" s="139">
        <x:v>25</x:v>
      </x:c>
      <x:c r="G10" s="139">
        <x:v>34</x:v>
      </x:c>
      <x:c r="H10" s="157">
        <x:v>0.95812399999999998</x:v>
      </x:c>
      <x:c r="I10" s="157">
        <x:v>0.94389400000000001</x:v>
      </x:c>
      <x:c r="J10" s="157">
        <x:v>648</x:v>
      </x:c>
      <x:c r="K10" s="157">
        <x:v>18</x:v>
      </x:c>
      <x:c r="L10" s="157">
        <x:v>59</x:v>
      </x:c>
      <x:c r="M10" s="157">
        <x:v>0.97297299999999998</x:v>
      </x:c>
      <x:c r="N10" s="157">
        <x:v>0.91654899999999995</x:v>
      </x:c>
      <x:c r="O10" s="157">
        <x:v>370</x:v>
      </x:c>
      <x:c r="P10" s="157">
        <x:v>5</x:v>
      </x:c>
      <x:c r="Q10" s="157">
        <x:v>12</x:v>
      </x:c>
      <x:c r="R10" s="157">
        <x:v>0.98666699999999996</x:v>
      </x:c>
      <x:c r="S10" s="157">
        <x:v>0.96858599999999995</x:v>
      </x:c>
      <x:c r="T10" s="157">
        <x:v>233</x:v>
      </x:c>
      <x:c r="U10" s="157">
        <x:v>50</x:v>
      </x:c>
      <x:c r="V10" s="157">
        <x:v>0.823322</x:v>
      </x:c>
      <x:c r="W10" s="157">
        <x:v>0.77464299999999997</x:v>
      </x:c>
      <x:c r="X10" s="157">
        <x:v>0.86334100000000003</x:v>
      </x:c>
    </x:row>
    <x:row r="11" ht="14.25" customHeight="1">
      <x:c r="A11" s="136" t="s">
        <x:v>48</x:v>
      </x:c>
      <x:c r="B11" s="136" t="s">
        <x:v>48</x:v>
      </x:c>
      <x:c r="C11" s="136">
        <x:v>283</x:v>
      </x:c>
      <x:c r="D11" s="136">
        <x:v>117</x:v>
      </x:c>
      <x:c r="E11" s="136">
        <x:v>554</x:v>
      </x:c>
      <x:c r="F11" s="136">
        <x:v>16</x:v>
      </x:c>
      <x:c r="G11" s="136">
        <x:v>52</x:v>
      </x:c>
      <x:c r="H11" s="156">
        <x:v>0.97192999999999996</x:v>
      </x:c>
      <x:c r="I11" s="156">
        <x:v>0.91419099999999998</x:v>
      </x:c>
      <x:c r="J11" s="156">
        <x:v>634</x:v>
      </x:c>
      <x:c r="K11" s="156">
        <x:v>8</x:v>
      </x:c>
      <x:c r="L11" s="156">
        <x:v>71</x:v>
      </x:c>
      <x:c r="M11" s="156">
        <x:v>0.98753899999999994</x:v>
      </x:c>
      <x:c r="N11" s="156">
        <x:v>0.89929099999999995</x:v>
      </x:c>
      <x:c r="O11" s="156">
        <x:v>359</x:v>
      </x:c>
      <x:c r="P11" s="156">
        <x:v>3</x:v>
      </x:c>
      <x:c r="Q11" s="156">
        <x:v>23</x:v>
      </x:c>
      <x:c r="R11" s="156">
        <x:v>0.99171299999999996</x:v>
      </x:c>
      <x:c r="S11" s="156">
        <x:v>0.93979100000000004</x:v>
      </x:c>
      <x:c r="T11" s="156">
        <x:v>232</x:v>
      </x:c>
      <x:c r="U11" s="156">
        <x:v>51</x:v>
      </x:c>
      <x:c r="V11" s="156">
        <x:v>0.81978799999999996</x:v>
      </x:c>
      <x:c r="W11" s="156">
        <x:v>0.77081900000000003</x:v>
      </x:c>
      <x:c r="X11" s="156">
        <x:v>0.86019199999999996</x:v>
      </x:c>
    </x:row>
    <x:row r="12" ht="14.25" customHeight="1">
      <x:c r="A12" s="139" t="s">
        <x:v>51</x:v>
      </x:c>
      <x:c r="B12" s="139" t="s">
        <x:v>51</x:v>
      </x:c>
      <x:c r="C12" s="139">
        <x:v>283</x:v>
      </x:c>
      <x:c r="D12" s="139">
        <x:v>117</x:v>
      </x:c>
      <x:c r="E12" s="139">
        <x:v>552</x:v>
      </x:c>
      <x:c r="F12" s="139">
        <x:v>17</x:v>
      </x:c>
      <x:c r="G12" s="139">
        <x:v>54</x:v>
      </x:c>
      <x:c r="H12" s="157">
        <x:v>0.97012299999999996</x:v>
      </x:c>
      <x:c r="I12" s="157">
        <x:v>0.91089100000000001</x:v>
      </x:c>
      <x:c r="J12" s="157">
        <x:v>641</x:v>
      </x:c>
      <x:c r="K12" s="157">
        <x:v>8</x:v>
      </x:c>
      <x:c r="L12" s="157">
        <x:v>65</x:v>
      </x:c>
      <x:c r="M12" s="157">
        <x:v>0.98767300000000002</x:v>
      </x:c>
      <x:c r="N12" s="157">
        <x:v>0.90793199999999996</x:v>
      </x:c>
      <x:c r="O12" s="157">
        <x:v>356</x:v>
      </x:c>
      <x:c r="P12" s="157">
        <x:v>4</x:v>
      </x:c>
      <x:c r="Q12" s="157">
        <x:v>26</x:v>
      </x:c>
      <x:c r="R12" s="157">
        <x:v>0.98888900000000002</x:v>
      </x:c>
      <x:c r="S12" s="157">
        <x:v>0.93193700000000002</x:v>
      </x:c>
      <x:c r="T12" s="157">
        <x:v>237</x:v>
      </x:c>
      <x:c r="U12" s="157">
        <x:v>46</x:v>
      </x:c>
      <x:c r="V12" s="157">
        <x:v>0.83745599999999998</x:v>
      </x:c>
      <x:c r="W12" s="157">
        <x:v>0.79000099999999995</x:v>
      </x:c>
      <x:c r="X12" s="157">
        <x:v>0.87587199999999998</x:v>
      </x:c>
    </x:row>
    <x:row r="13" ht="14.25" customHeight="1">
      <x:c r="A13" s="136" t="s">
        <x:v>52</x:v>
      </x:c>
      <x:c r="B13" s="136" t="s">
        <x:v>52</x:v>
      </x:c>
      <x:c r="C13" s="136">
        <x:v>283</x:v>
      </x:c>
      <x:c r="D13" s="136">
        <x:v>117</x:v>
      </x:c>
      <x:c r="E13" s="136">
        <x:v>531</x:v>
      </x:c>
      <x:c r="F13" s="136">
        <x:v>9</x:v>
      </x:c>
      <x:c r="G13" s="136">
        <x:v>79</x:v>
      </x:c>
      <x:c r="H13" s="156">
        <x:v>0.98333300000000001</x:v>
      </x:c>
      <x:c r="I13" s="156">
        <x:v>0.87049200000000004</x:v>
      </x:c>
      <x:c r="J13" s="156">
        <x:v>617</x:v>
      </x:c>
      <x:c r="K13" s="156">
        <x:v>3</x:v>
      </x:c>
      <x:c r="L13" s="156">
        <x:v>88</x:v>
      </x:c>
      <x:c r="M13" s="156">
        <x:v>0.99516099999999996</x:v>
      </x:c>
      <x:c r="N13" s="156">
        <x:v>0.87517699999999998</x:v>
      </x:c>
      <x:c r="O13" s="156">
        <x:v>339</x:v>
      </x:c>
      <x:c r="P13" s="156">
        <x:v>1</x:v>
      </x:c>
      <x:c r="Q13" s="156">
        <x:v>46</x:v>
      </x:c>
      <x:c r="R13" s="156">
        <x:v>0.99705900000000003</x:v>
      </x:c>
      <x:c r="S13" s="156">
        <x:v>0.88051900000000005</x:v>
      </x:c>
      <x:c r="T13" s="156">
        <x:v>237</x:v>
      </x:c>
      <x:c r="U13" s="156">
        <x:v>46</x:v>
      </x:c>
      <x:c r="V13" s="156">
        <x:v>0.83745599999999998</x:v>
      </x:c>
      <x:c r="W13" s="156">
        <x:v>0.79000099999999995</x:v>
      </x:c>
      <x:c r="X13" s="156">
        <x:v>0.87587199999999998</x:v>
      </x:c>
    </x:row>
    <x:row r="14" ht="14.25" customHeight="1">
      <x:c r="A14" s="139" t="s">
        <x:v>54</x:v>
      </x:c>
      <x:c r="B14" s="139" t="s">
        <x:v>54</x:v>
      </x:c>
      <x:c r="C14" s="139">
        <x:v>283</x:v>
      </x:c>
      <x:c r="D14" s="139">
        <x:v>117</x:v>
      </x:c>
      <x:c r="E14" s="139">
        <x:v>508</x:v>
      </x:c>
      <x:c r="F14" s="139">
        <x:v>18</x:v>
      </x:c>
      <x:c r="G14" s="139">
        <x:v>98</x:v>
      </x:c>
      <x:c r="H14" s="157">
        <x:v>0.96577900000000005</x:v>
      </x:c>
      <x:c r="I14" s="157">
        <x:v>0.83828400000000003</x:v>
      </x:c>
      <x:c r="J14" s="157">
        <x:v>584</x:v>
      </x:c>
      <x:c r="K14" s="157">
        <x:v>16</x:v>
      </x:c>
      <x:c r="L14" s="157">
        <x:v>121</x:v>
      </x:c>
      <x:c r="M14" s="157">
        <x:v>0.973333</x:v>
      </x:c>
      <x:c r="N14" s="157">
        <x:v>0.82836900000000002</x:v>
      </x:c>
      <x:c r="O14" s="157">
        <x:v>330</x:v>
      </x:c>
      <x:c r="P14" s="157">
        <x:v>4</x:v>
      </x:c>
      <x:c r="Q14" s="157">
        <x:v>52</x:v>
      </x:c>
      <x:c r="R14" s="157">
        <x:v>0.98802400000000001</x:v>
      </x:c>
      <x:c r="S14" s="157">
        <x:v>0.86387400000000003</x:v>
      </x:c>
      <x:c r="T14" s="157">
        <x:v>219</x:v>
      </x:c>
      <x:c r="U14" s="157">
        <x:v>64</x:v>
      </x:c>
      <x:c r="V14" s="157">
        <x:v>0.77385199999999998</x:v>
      </x:c>
      <x:c r="W14" s="157">
        <x:v>0.72163299999999997</x:v>
      </x:c>
      <x:c r="X14" s="157">
        <x:v>0.81873499999999999</x:v>
      </x:c>
    </x:row>
    <x:row r="15" ht="14.25" customHeight="1">
      <x:c r="A15" s="153" t="s">
        <x:v>57</x:v>
      </x:c>
      <x:c r="B15" s="153" t="s">
        <x:v>57</x:v>
      </x:c>
      <x:c r="C15" s="153">
        <x:v>283</x:v>
      </x:c>
      <x:c r="D15" s="153">
        <x:v>117</x:v>
      </x:c>
      <x:c r="E15" s="153">
        <x:v>515</x:v>
      </x:c>
      <x:c r="F15" s="153">
        <x:v>20</x:v>
      </x:c>
      <x:c r="G15" s="153">
        <x:v>95</x:v>
      </x:c>
      <x:c r="H15" s="158">
        <x:v>0.96261699999999994</x:v>
      </x:c>
      <x:c r="I15" s="158">
        <x:v>0.84426199999999996</x:v>
      </x:c>
      <x:c r="J15" s="158">
        <x:v>578</x:v>
      </x:c>
      <x:c r="K15" s="158">
        <x:v>11</x:v>
      </x:c>
      <x:c r="L15" s="158">
        <x:v>126</x:v>
      </x:c>
      <x:c r="M15" s="158">
        <x:v>0.98132399999999997</x:v>
      </x:c>
      <x:c r="N15" s="158">
        <x:v>0.82102299999999995</x:v>
      </x:c>
      <x:c r="O15" s="158">
        <x:v>335</x:v>
      </x:c>
      <x:c r="P15" s="158">
        <x:v>3</x:v>
      </x:c>
      <x:c r="Q15" s="158">
        <x:v>50</x:v>
      </x:c>
      <x:c r="R15" s="158">
        <x:v>0.991124</x:v>
      </x:c>
      <x:c r="S15" s="158">
        <x:v>0.87012999999999996</x:v>
      </x:c>
      <x:c r="T15" s="158">
        <x:v>223</x:v>
      </x:c>
      <x:c r="U15" s="158">
        <x:v>60</x:v>
      </x:c>
      <x:c r="V15" s="158">
        <x:v>0.78798599999999996</x:v>
      </x:c>
      <x:c r="W15" s="158">
        <x:v>0.73667099999999996</x:v>
      </x:c>
      <x:c r="X15" s="158">
        <x:v>0.83158699999999997</x:v>
      </x:c>
    </x:row>
    <x:row r="16" ht="14.25" customHeight="1">
      <x:c r="A16" s="150" t="s">
        <x:v>58</x:v>
      </x:c>
      <x:c r="B16" s="150" t="s">
        <x:v>58</x:v>
      </x:c>
      <x:c r="C16" s="150">
        <x:v>283</x:v>
      </x:c>
      <x:c r="D16" s="150">
        <x:v>117</x:v>
      </x:c>
      <x:c r="E16" s="150">
        <x:v>499</x:v>
      </x:c>
      <x:c r="F16" s="150">
        <x:v>14</x:v>
      </x:c>
      <x:c r="G16" s="150">
        <x:v>111</x:v>
      </x:c>
      <x:c r="H16" s="159">
        <x:v>0.97270999999999996</x:v>
      </x:c>
      <x:c r="I16" s="159">
        <x:v>0.81803300000000001</x:v>
      </x:c>
      <x:c r="J16" s="159">
        <x:v>554</x:v>
      </x:c>
      <x:c r="K16" s="159">
        <x:v>10</x:v>
      </x:c>
      <x:c r="L16" s="159">
        <x:v>150</x:v>
      </x:c>
      <x:c r="M16" s="159">
        <x:v>0.98226999999999998</x:v>
      </x:c>
      <x:c r="N16" s="159">
        <x:v>0.78693199999999996</x:v>
      </x:c>
      <x:c r="O16" s="159">
        <x:v>325</x:v>
      </x:c>
      <x:c r="P16" s="159">
        <x:v>1</x:v>
      </x:c>
      <x:c r="Q16" s="159">
        <x:v>60</x:v>
      </x:c>
      <x:c r="R16" s="159">
        <x:v>0.99693299999999996</x:v>
      </x:c>
      <x:c r="S16" s="159">
        <x:v>0.84415600000000002</x:v>
      </x:c>
      <x:c r="T16" s="159">
        <x:v>215</x:v>
      </x:c>
      <x:c r="U16" s="159">
        <x:v>68</x:v>
      </x:c>
      <x:c r="V16" s="159">
        <x:v>0.75971699999999998</x:v>
      </x:c>
      <x:c r="W16" s="159">
        <x:v>0.706673</x:v>
      </x:c>
      <x:c r="X16" s="159">
        <x:v>0.80580499999999999</x:v>
      </x:c>
    </x:row>
    <x:row r="17" ht="14.25" customHeight="1">
      <x:c r="A17" s="149" t="s">
        <x:v>60</x:v>
      </x:c>
      <x:c r="B17" s="149" t="s">
        <x:v>60</x:v>
      </x:c>
      <x:c r="C17" s="149">
        <x:v>283</x:v>
      </x:c>
      <x:c r="D17" s="149">
        <x:v>117</x:v>
      </x:c>
      <x:c r="E17" s="149">
        <x:v>543</x:v>
      </x:c>
      <x:c r="F17" s="149">
        <x:v>20</x:v>
      </x:c>
      <x:c r="G17" s="149">
        <x:v>67</x:v>
      </x:c>
      <x:c r="H17" s="160">
        <x:v>0.964476</x:v>
      </x:c>
      <x:c r="I17" s="160">
        <x:v>0.89016399999999996</x:v>
      </x:c>
      <x:c r="J17" s="160">
        <x:v>624</x:v>
      </x:c>
      <x:c r="K17" s="160">
        <x:v>10</x:v>
      </x:c>
      <x:c r="L17" s="160">
        <x:v>81</x:v>
      </x:c>
      <x:c r="M17" s="160">
        <x:v>0.98422699999999996</x:v>
      </x:c>
      <x:c r="N17" s="160">
        <x:v>0.88510599999999995</x:v>
      </x:c>
      <x:c r="O17" s="160">
        <x:v>352</x:v>
      </x:c>
      <x:c r="P17" s="160">
        <x:v>4</x:v>
      </x:c>
      <x:c r="Q17" s="160">
        <x:v>33</x:v>
      </x:c>
      <x:c r="R17" s="160">
        <x:v>0.98876399999999998</x:v>
      </x:c>
      <x:c r="S17" s="160">
        <x:v>0.91428600000000004</x:v>
      </x:c>
      <x:c r="T17" s="160">
        <x:v>227</x:v>
      </x:c>
      <x:c r="U17" s="160">
        <x:v>56</x:v>
      </x:c>
      <x:c r="V17" s="160">
        <x:v>0.80212000000000006</x:v>
      </x:c>
      <x:c r="W17" s="160">
        <x:v>0.75179200000000002</x:v>
      </x:c>
      <x:c r="X17" s="160">
        <x:v>0.844356</x:v>
      </x:c>
    </x:row>
    <x:row r="18" ht="14.25" customHeight="1">
      <x:c r="A18" s="150" t="s">
        <x:v>65</x:v>
      </x:c>
      <x:c r="B18" s="150" t="s">
        <x:v>65</x:v>
      </x:c>
      <x:c r="C18" s="150">
        <x:v>283</x:v>
      </x:c>
      <x:c r="D18" s="150">
        <x:v>117</x:v>
      </x:c>
      <x:c r="E18" s="150">
        <x:v>537</x:v>
      </x:c>
      <x:c r="F18" s="150">
        <x:v>18</x:v>
      </x:c>
      <x:c r="G18" s="150">
        <x:v>73</x:v>
      </x:c>
      <x:c r="H18" s="159">
        <x:v>0.96756799999999998</x:v>
      </x:c>
      <x:c r="I18" s="159">
        <x:v>0.880328</x:v>
      </x:c>
      <x:c r="J18" s="159">
        <x:v>620</x:v>
      </x:c>
      <x:c r="K18" s="159">
        <x:v>7</x:v>
      </x:c>
      <x:c r="L18" s="159">
        <x:v>87</x:v>
      </x:c>
      <x:c r="M18" s="159">
        <x:v>0.98883600000000005</x:v>
      </x:c>
      <x:c r="N18" s="159">
        <x:v>0.87694499999999997</x:v>
      </x:c>
      <x:c r="O18" s="159">
        <x:v>349</x:v>
      </x:c>
      <x:c r="P18" s="159">
        <x:v>2</x:v>
      </x:c>
      <x:c r="Q18" s="159">
        <x:v>36</x:v>
      </x:c>
      <x:c r="R18" s="159">
        <x:v>0.99430200000000002</x:v>
      </x:c>
      <x:c r="S18" s="159">
        <x:v>0.90649400000000002</x:v>
      </x:c>
      <x:c r="T18" s="159">
        <x:v>227</x:v>
      </x:c>
      <x:c r="U18" s="159">
        <x:v>56</x:v>
      </x:c>
      <x:c r="V18" s="159">
        <x:v>0.80212000000000006</x:v>
      </x:c>
      <x:c r="W18" s="159">
        <x:v>0.75179200000000002</x:v>
      </x:c>
      <x:c r="X18" s="159">
        <x:v>0.844356</x:v>
      </x:c>
    </x:row>
    <x:row r="19" ht="14.25" customHeight="1">
      <x:c r="A19" s="149" t="s">
        <x:v>67</x:v>
      </x:c>
      <x:c r="B19" s="149" t="s">
        <x:v>67</x:v>
      </x:c>
      <x:c r="C19" s="149">
        <x:v>283</x:v>
      </x:c>
      <x:c r="D19" s="149">
        <x:v>117</x:v>
      </x:c>
      <x:c r="E19" s="149">
        <x:v>555</x:v>
      </x:c>
      <x:c r="F19" s="149">
        <x:v>20</x:v>
      </x:c>
      <x:c r="G19" s="149">
        <x:v>51</x:v>
      </x:c>
      <x:c r="H19" s="160">
        <x:v>0.96521699999999999</x:v>
      </x:c>
      <x:c r="I19" s="160">
        <x:v>0.91584200000000004</x:v>
      </x:c>
      <x:c r="J19" s="160">
        <x:v>637</x:v>
      </x:c>
      <x:c r="K19" s="160">
        <x:v>11</x:v>
      </x:c>
      <x:c r="L19" s="160">
        <x:v>70</x:v>
      </x:c>
      <x:c r="M19" s="160">
        <x:v>0.98302500000000004</x:v>
      </x:c>
      <x:c r="N19" s="160">
        <x:v>0.90098999999999996</x:v>
      </x:c>
      <x:c r="O19" s="160">
        <x:v>360</x:v>
      </x:c>
      <x:c r="P19" s="160">
        <x:v>1</x:v>
      </x:c>
      <x:c r="Q19" s="160">
        <x:v>22</x:v>
      </x:c>
      <x:c r="R19" s="160">
        <x:v>0.99722999999999995</x:v>
      </x:c>
      <x:c r="S19" s="160">
        <x:v>0.94240800000000002</x:v>
      </x:c>
      <x:c r="T19" s="160">
        <x:v>239</x:v>
      </x:c>
      <x:c r="U19" s="160">
        <x:v>44</x:v>
      </x:c>
      <x:c r="V19" s="160">
        <x:v>0.84452300000000002</x:v>
      </x:c>
      <x:c r="W19" s="160">
        <x:v>0.79772200000000004</x:v>
      </x:c>
      <x:c r="X19" s="160">
        <x:v>0.88209599999999999</x:v>
      </x:c>
    </x:row>
    <x:row r="20" ht="14.25" customHeight="1">
      <x:c r="A20" s="150" t="s">
        <x:v>69</x:v>
      </x:c>
      <x:c r="B20" s="150" t="s">
        <x:v>69</x:v>
      </x:c>
      <x:c r="C20" s="150">
        <x:v>283</x:v>
      </x:c>
      <x:c r="D20" s="150">
        <x:v>117</x:v>
      </x:c>
      <x:c r="E20" s="150">
        <x:v>553</x:v>
      </x:c>
      <x:c r="F20" s="150">
        <x:v>17</x:v>
      </x:c>
      <x:c r="G20" s="150">
        <x:v>53</x:v>
      </x:c>
      <x:c r="H20" s="159">
        <x:v>0.97017500000000001</x:v>
      </x:c>
      <x:c r="I20" s="159">
        <x:v>0.91254100000000005</x:v>
      </x:c>
      <x:c r="J20" s="159">
        <x:v>629</x:v>
      </x:c>
      <x:c r="K20" s="159">
        <x:v>6</x:v>
      </x:c>
      <x:c r="L20" s="159">
        <x:v>78</x:v>
      </x:c>
      <x:c r="M20" s="159">
        <x:v>0.99055099999999996</x:v>
      </x:c>
      <x:c r="N20" s="159">
        <x:v>0.88967499999999999</x:v>
      </x:c>
      <x:c r="O20" s="159">
        <x:v>358</x:v>
      </x:c>
      <x:c r="P20" s="159">
        <x:v>2</x:v>
      </x:c>
      <x:c r="Q20" s="159">
        <x:v>24</x:v>
      </x:c>
      <x:c r="R20" s="159">
        <x:v>0.99444399999999999</x:v>
      </x:c>
      <x:c r="S20" s="159">
        <x:v>0.93717300000000003</x:v>
      </x:c>
      <x:c r="T20" s="159">
        <x:v>239</x:v>
      </x:c>
      <x:c r="U20" s="159">
        <x:v>44</x:v>
      </x:c>
      <x:c r="V20" s="159">
        <x:v>0.84452300000000002</x:v>
      </x:c>
      <x:c r="W20" s="159">
        <x:v>0.79772200000000004</x:v>
      </x:c>
      <x:c r="X20" s="159">
        <x:v>0.88209599999999999</x:v>
      </x:c>
    </x:row>
    <x:row r="21" ht="14.25" customHeight="1">
      <x:c r="A21" s="149" t="s">
        <x:v>71</x:v>
      </x:c>
      <x:c r="B21" s="149" t="s">
        <x:v>71</x:v>
      </x:c>
      <x:c r="C21" s="149">
        <x:v>283</x:v>
      </x:c>
      <x:c r="D21" s="149">
        <x:v>117</x:v>
      </x:c>
      <x:c r="E21" s="149">
        <x:v>574</x:v>
      </x:c>
      <x:c r="F21" s="149">
        <x:v>20</x:v>
      </x:c>
      <x:c r="G21" s="149">
        <x:v>32</x:v>
      </x:c>
      <x:c r="H21" s="160">
        <x:v>0.96633000000000002</x:v>
      </x:c>
      <x:c r="I21" s="160">
        <x:v>0.94719500000000001</x:v>
      </x:c>
      <x:c r="J21" s="160">
        <x:v>669</x:v>
      </x:c>
      <x:c r="K21" s="160">
        <x:v>11</x:v>
      </x:c>
      <x:c r="L21" s="160">
        <x:v>37</x:v>
      </x:c>
      <x:c r="M21" s="160">
        <x:v>0.98382400000000003</x:v>
      </x:c>
      <x:c r="N21" s="160">
        <x:v>0.94759199999999999</x:v>
      </x:c>
      <x:c r="O21" s="160">
        <x:v>370</x:v>
      </x:c>
      <x:c r="P21" s="160">
        <x:v>3</x:v>
      </x:c>
      <x:c r="Q21" s="160">
        <x:v>12</x:v>
      </x:c>
      <x:c r="R21" s="160">
        <x:v>0.99195699999999998</x:v>
      </x:c>
      <x:c r="S21" s="160">
        <x:v>0.96858599999999995</x:v>
      </x:c>
      <x:c r="T21" s="160">
        <x:v>245</x:v>
      </x:c>
      <x:c r="U21" s="160">
        <x:v>38</x:v>
      </x:c>
      <x:c r="V21" s="160">
        <x:v>0.86572400000000005</x:v>
      </x:c>
      <x:c r="W21" s="160">
        <x:v>0.82106699999999999</x:v>
      </x:c>
      <x:c r="X21" s="160">
        <x:v>0.900586</x:v>
      </x:c>
    </x:row>
  </x:sheetData>
  <x:pageMargins left="0.7" right="0.7" top="0.75" bottom="0.75" header="0.3" footer="0.3"/>
  <x:tableParts count="1">
    <x:tablePart xmlns:r="http://schemas.openxmlformats.org/officeDocument/2006/relationships" r:id="Rbe79e0a0e3a74a1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5.125" customWidth="1"/>
    <x:col min="2" max="2" width="11.375" customWidth="1"/>
    <x:col min="3" max="3" width="13.125" customWidth="1"/>
    <x:col min="4" max="4" width="17.625" customWidth="1"/>
    <x:col min="5" max="5" width="13.875" customWidth="1"/>
    <x:col min="6" max="6" width="13.5" customWidth="1"/>
    <x:col min="7" max="7" width="10.125" customWidth="1"/>
    <x:col min="8" max="8" width="10.375" customWidth="1"/>
    <x:col min="9" max="9" width="10.125" customWidth="1"/>
    <x:col min="10" max="10" width="10.375" customWidth="1"/>
    <x:col min="11" max="11" width="22.625" customWidth="1"/>
    <x:col min="12" max="12" width="20.125" customWidth="1"/>
    <x:col min="13" max="13" width="16.5" customWidth="1"/>
  </x:cols>
  <x:sheetData>
    <x:row r="1" ht="14.25" customHeight="1">
      <x:c r="A1" s="1" t="s">
        <x:v>175</x:v>
      </x:c>
      <x:c r="B1" s="2" t="s">
        <x:v>176</x:v>
      </x:c>
      <x:c r="C1" s="2" t="s">
        <x:v>177</x:v>
      </x:c>
      <x:c r="D1" s="2" t="s">
        <x:v>178</x:v>
      </x:c>
      <x:c r="E1" s="2" t="s">
        <x:v>179</x:v>
      </x:c>
      <x:c r="F1" s="2" t="s">
        <x:v>180</x:v>
      </x:c>
      <x:c r="G1" s="2" t="s">
        <x:v>181</x:v>
      </x:c>
      <x:c r="H1" s="2" t="s">
        <x:v>182</x:v>
      </x:c>
      <x:c r="I1" s="2" t="s">
        <x:v>183</x:v>
      </x:c>
      <x:c r="J1" s="2" t="s">
        <x:v>184</x:v>
      </x:c>
      <x:c r="K1" s="2" t="s">
        <x:v>185</x:v>
      </x:c>
      <x:c r="L1" s="2" t="s">
        <x:v>186</x:v>
      </x:c>
      <x:c r="M1" s="3" t="s">
        <x:v>187</x:v>
      </x:c>
    </x:row>
    <x:row r="2" ht="14.25" customHeight="1">
      <x:c r="A2" s="131" t="s">
        <x:v>26</x:v>
      </x:c>
      <x:c r="B2" s="131" t="s">
        <x:v>188</x:v>
      </x:c>
      <x:c r="C2" s="131" t="s">
        <x:v>127</x:v>
      </x:c>
      <x:c r="D2" s="131">
        <x:v>283</x:v>
      </x:c>
      <x:c r="E2" s="131">
        <x:v>117</x:v>
      </x:c>
      <x:c r="F2" s="131">
        <x:v>400</x:v>
      </x:c>
      <x:c r="G2" s="131">
        <x:v>236</x:v>
      </x:c>
      <x:c r="H2" s="131">
        <x:v>47</x:v>
      </x:c>
      <x:c r="I2" s="131">
        <x:v>63</x:v>
      </x:c>
      <x:c r="J2" s="131">
        <x:v>54</x:v>
      </x:c>
      <x:c r="K2" s="155">
        <x:v>0.83392200000000005</x:v>
      </x:c>
      <x:c r="L2" s="155">
        <x:v>0.461538</x:v>
      </x:c>
      <x:c r="M2" s="155">
        <x:v>0.72499999999999998</x:v>
      </x:c>
    </x:row>
    <x:row r="3" ht="14.25" customHeight="1">
      <x:c r="A3" s="136" t="s">
        <x:v>26</x:v>
      </x:c>
      <x:c r="B3" s="136" t="s">
        <x:v>189</x:v>
      </x:c>
      <x:c r="C3" s="136" t="s">
        <x:v>128</x:v>
      </x:c>
      <x:c r="D3" s="136">
        <x:v>283</x:v>
      </x:c>
      <x:c r="E3" s="136">
        <x:v>117</x:v>
      </x:c>
      <x:c r="F3" s="136">
        <x:v>400</x:v>
      </x:c>
      <x:c r="G3" s="136">
        <x:v>236</x:v>
      </x:c>
      <x:c r="H3" s="136">
        <x:v>47</x:v>
      </x:c>
      <x:c r="I3" s="136">
        <x:v>85</x:v>
      </x:c>
      <x:c r="J3" s="136">
        <x:v>32</x:v>
      </x:c>
      <x:c r="K3" s="156">
        <x:v>0.83392200000000005</x:v>
      </x:c>
      <x:c r="L3" s="156">
        <x:v>0.27350400000000002</x:v>
      </x:c>
      <x:c r="M3" s="156">
        <x:v>0.67</x:v>
      </x:c>
    </x:row>
    <x:row r="4" ht="14.25" customHeight="1">
      <x:c r="A4" s="139" t="s">
        <x:v>26</x:v>
      </x:c>
      <x:c r="B4" s="139" t="s">
        <x:v>190</x:v>
      </x:c>
      <x:c r="C4" s="139" t="s">
        <x:v>129</x:v>
      </x:c>
      <x:c r="D4" s="139">
        <x:v>283</x:v>
      </x:c>
      <x:c r="E4" s="139">
        <x:v>117</x:v>
      </x:c>
      <x:c r="F4" s="139">
        <x:v>400</x:v>
      </x:c>
      <x:c r="G4" s="139">
        <x:v>242</x:v>
      </x:c>
      <x:c r="H4" s="139">
        <x:v>41</x:v>
      </x:c>
      <x:c r="I4" s="139">
        <x:v>113</x:v>
      </x:c>
      <x:c r="J4" s="139">
        <x:v>4</x:v>
      </x:c>
      <x:c r="K4" s="157">
        <x:v>0.855124</x:v>
      </x:c>
      <x:c r="L4" s="157">
        <x:v>3.4188000000000003E-2</x:v>
      </x:c>
      <x:c r="M4" s="157">
        <x:v>0.61499999999999999</x:v>
      </x:c>
    </x:row>
    <x:row r="5" ht="14.25" customHeight="1">
      <x:c r="A5" s="136" t="s">
        <x:v>26</x:v>
      </x:c>
      <x:c r="B5" s="136" t="s">
        <x:v>191</x:v>
      </x:c>
      <x:c r="C5" s="136" t="s">
        <x:v>130</x:v>
      </x:c>
      <x:c r="D5" s="136">
        <x:v>283</x:v>
      </x:c>
      <x:c r="E5" s="136">
        <x:v>117</x:v>
      </x:c>
      <x:c r="F5" s="136">
        <x:v>400</x:v>
      </x:c>
      <x:c r="G5" s="136">
        <x:v>233</x:v>
      </x:c>
      <x:c r="H5" s="136">
        <x:v>50</x:v>
      </x:c>
      <x:c r="I5" s="136">
        <x:v>82</x:v>
      </x:c>
      <x:c r="J5" s="136">
        <x:v>35</x:v>
      </x:c>
      <x:c r="K5" s="156">
        <x:v>0.823322</x:v>
      </x:c>
      <x:c r="L5" s="156">
        <x:v>0.29914499999999999</x:v>
      </x:c>
      <x:c r="M5" s="156">
        <x:v>0.67</x:v>
      </x:c>
    </x:row>
    <x:row r="6" ht="14.25" customHeight="1">
      <x:c r="A6" s="139" t="s">
        <x:v>26</x:v>
      </x:c>
      <x:c r="B6" s="139" t="s">
        <x:v>192</x:v>
      </x:c>
      <x:c r="C6" s="139" t="s">
        <x:v>131</x:v>
      </x:c>
      <x:c r="D6" s="139">
        <x:v>283</x:v>
      </x:c>
      <x:c r="E6" s="139">
        <x:v>117</x:v>
      </x:c>
      <x:c r="F6" s="139">
        <x:v>400</x:v>
      </x:c>
      <x:c r="G6" s="139">
        <x:v>193</x:v>
      </x:c>
      <x:c r="H6" s="139">
        <x:v>90</x:v>
      </x:c>
      <x:c r="I6" s="139">
        <x:v>106</x:v>
      </x:c>
      <x:c r="J6" s="139">
        <x:v>11</x:v>
      </x:c>
      <x:c r="K6" s="157">
        <x:v>0.681979</x:v>
      </x:c>
      <x:c r="L6" s="157">
        <x:v>9.4017000000000003E-2</x:v>
      </x:c>
      <x:c r="M6" s="157">
        <x:v>0.51</x:v>
      </x:c>
    </x:row>
    <x:row r="7" ht="14.25" customHeight="1">
      <x:c r="A7" s="136" t="s">
        <x:v>31</x:v>
      </x:c>
      <x:c r="B7" s="136" t="s">
        <x:v>188</x:v>
      </x:c>
      <x:c r="C7" s="136" t="s">
        <x:v>127</x:v>
      </x:c>
      <x:c r="D7" s="136">
        <x:v>283</x:v>
      </x:c>
      <x:c r="E7" s="136">
        <x:v>117</x:v>
      </x:c>
      <x:c r="F7" s="136">
        <x:v>400</x:v>
      </x:c>
      <x:c r="G7" s="136">
        <x:v>234</x:v>
      </x:c>
      <x:c r="H7" s="136">
        <x:v>49</x:v>
      </x:c>
      <x:c r="I7" s="136">
        <x:v>69</x:v>
      </x:c>
      <x:c r="J7" s="136">
        <x:v>48</x:v>
      </x:c>
      <x:c r="K7" s="156">
        <x:v>0.82685500000000001</x:v>
      </x:c>
      <x:c r="L7" s="156">
        <x:v>0.41025600000000001</x:v>
      </x:c>
      <x:c r="M7" s="156">
        <x:v>0.70499999999999996</x:v>
      </x:c>
    </x:row>
    <x:row r="8" ht="14.25" customHeight="1">
      <x:c r="A8" s="139" t="s">
        <x:v>31</x:v>
      </x:c>
      <x:c r="B8" s="139" t="s">
        <x:v>189</x:v>
      </x:c>
      <x:c r="C8" s="139" t="s">
        <x:v>128</x:v>
      </x:c>
      <x:c r="D8" s="139">
        <x:v>283</x:v>
      </x:c>
      <x:c r="E8" s="139">
        <x:v>117</x:v>
      </x:c>
      <x:c r="F8" s="139">
        <x:v>400</x:v>
      </x:c>
      <x:c r="G8" s="139">
        <x:v>237</x:v>
      </x:c>
      <x:c r="H8" s="139">
        <x:v>46</x:v>
      </x:c>
      <x:c r="I8" s="139">
        <x:v>82</x:v>
      </x:c>
      <x:c r="J8" s="139">
        <x:v>35</x:v>
      </x:c>
      <x:c r="K8" s="157">
        <x:v>0.83745599999999998</x:v>
      </x:c>
      <x:c r="L8" s="157">
        <x:v>0.29914499999999999</x:v>
      </x:c>
      <x:c r="M8" s="157">
        <x:v>0.68</x:v>
      </x:c>
    </x:row>
    <x:row r="9" ht="14.25" customHeight="1">
      <x:c r="A9" s="136" t="s">
        <x:v>31</x:v>
      </x:c>
      <x:c r="B9" s="136" t="s">
        <x:v>190</x:v>
      </x:c>
      <x:c r="C9" s="136" t="s">
        <x:v>129</x:v>
      </x:c>
      <x:c r="D9" s="136">
        <x:v>283</x:v>
      </x:c>
      <x:c r="E9" s="136">
        <x:v>117</x:v>
      </x:c>
      <x:c r="F9" s="136">
        <x:v>400</x:v>
      </x:c>
      <x:c r="G9" s="136">
        <x:v>243</x:v>
      </x:c>
      <x:c r="H9" s="136">
        <x:v>40</x:v>
      </x:c>
      <x:c r="I9" s="136">
        <x:v>112</x:v>
      </x:c>
      <x:c r="J9" s="136">
        <x:v>5</x:v>
      </x:c>
      <x:c r="K9" s="156">
        <x:v>0.858657</x:v>
      </x:c>
      <x:c r="L9" s="156">
        <x:v>4.2735000000000002E-2</x:v>
      </x:c>
      <x:c r="M9" s="156">
        <x:v>0.62</x:v>
      </x:c>
    </x:row>
    <x:row r="10" ht="14.25" customHeight="1">
      <x:c r="A10" s="139" t="s">
        <x:v>31</x:v>
      </x:c>
      <x:c r="B10" s="139" t="s">
        <x:v>191</x:v>
      </x:c>
      <x:c r="C10" s="139" t="s">
        <x:v>130</x:v>
      </x:c>
      <x:c r="D10" s="139">
        <x:v>283</x:v>
      </x:c>
      <x:c r="E10" s="139">
        <x:v>117</x:v>
      </x:c>
      <x:c r="F10" s="139">
        <x:v>400</x:v>
      </x:c>
      <x:c r="G10" s="139">
        <x:v>235</x:v>
      </x:c>
      <x:c r="H10" s="139">
        <x:v>48</x:v>
      </x:c>
      <x:c r="I10" s="139">
        <x:v>77</x:v>
      </x:c>
      <x:c r="J10" s="139">
        <x:v>40</x:v>
      </x:c>
      <x:c r="K10" s="157">
        <x:v>0.83038900000000004</x:v>
      </x:c>
      <x:c r="L10" s="157">
        <x:v>0.34188000000000002</x:v>
      </x:c>
      <x:c r="M10" s="157">
        <x:v>0.6875</x:v>
      </x:c>
    </x:row>
    <x:row r="11" ht="14.25" customHeight="1">
      <x:c r="A11" s="136" t="s">
        <x:v>31</x:v>
      </x:c>
      <x:c r="B11" s="136" t="s">
        <x:v>192</x:v>
      </x:c>
      <x:c r="C11" s="136" t="s">
        <x:v>131</x:v>
      </x:c>
      <x:c r="D11" s="136">
        <x:v>283</x:v>
      </x:c>
      <x:c r="E11" s="136">
        <x:v>117</x:v>
      </x:c>
      <x:c r="F11" s="136">
        <x:v>400</x:v>
      </x:c>
      <x:c r="G11" s="136">
        <x:v>195</x:v>
      </x:c>
      <x:c r="H11" s="136">
        <x:v>88</x:v>
      </x:c>
      <x:c r="I11" s="136">
        <x:v>106</x:v>
      </x:c>
      <x:c r="J11" s="136">
        <x:v>11</x:v>
      </x:c>
      <x:c r="K11" s="156">
        <x:v>0.68904600000000005</x:v>
      </x:c>
      <x:c r="L11" s="156">
        <x:v>9.4017000000000003E-2</x:v>
      </x:c>
      <x:c r="M11" s="156">
        <x:v>0.51500000000000001</x:v>
      </x:c>
    </x:row>
    <x:row r="12" ht="14.25" customHeight="1">
      <x:c r="A12" s="139" t="s">
        <x:v>33</x:v>
      </x:c>
      <x:c r="B12" s="139" t="s">
        <x:v>188</x:v>
      </x:c>
      <x:c r="C12" s="139" t="s">
        <x:v>127</x:v>
      </x:c>
      <x:c r="D12" s="139">
        <x:v>283</x:v>
      </x:c>
      <x:c r="E12" s="139">
        <x:v>117</x:v>
      </x:c>
      <x:c r="F12" s="139">
        <x:v>400</x:v>
      </x:c>
      <x:c r="G12" s="139">
        <x:v>226</x:v>
      </x:c>
      <x:c r="H12" s="139">
        <x:v>57</x:v>
      </x:c>
      <x:c r="I12" s="139">
        <x:v>68</x:v>
      </x:c>
      <x:c r="J12" s="139">
        <x:v>49</x:v>
      </x:c>
      <x:c r="K12" s="157">
        <x:v>0.79858700000000005</x:v>
      </x:c>
      <x:c r="L12" s="157">
        <x:v>0.41880299999999998</x:v>
      </x:c>
      <x:c r="M12" s="157">
        <x:v>0.6875</x:v>
      </x:c>
    </x:row>
    <x:row r="13" ht="14.25" customHeight="1">
      <x:c r="A13" s="136" t="s">
        <x:v>33</x:v>
      </x:c>
      <x:c r="B13" s="136" t="s">
        <x:v>189</x:v>
      </x:c>
      <x:c r="C13" s="136" t="s">
        <x:v>128</x:v>
      </x:c>
      <x:c r="D13" s="136">
        <x:v>283</x:v>
      </x:c>
      <x:c r="E13" s="136">
        <x:v>117</x:v>
      </x:c>
      <x:c r="F13" s="136">
        <x:v>400</x:v>
      </x:c>
      <x:c r="G13" s="136">
        <x:v>238</x:v>
      </x:c>
      <x:c r="H13" s="136">
        <x:v>45</x:v>
      </x:c>
      <x:c r="I13" s="136">
        <x:v>85</x:v>
      </x:c>
      <x:c r="J13" s="136">
        <x:v>32</x:v>
      </x:c>
      <x:c r="K13" s="156">
        <x:v>0.84098899999999999</x:v>
      </x:c>
      <x:c r="L13" s="156">
        <x:v>0.27350400000000002</x:v>
      </x:c>
      <x:c r="M13" s="156">
        <x:v>0.67500000000000004</x:v>
      </x:c>
    </x:row>
    <x:row r="14" ht="14.25" customHeight="1">
      <x:c r="A14" s="139" t="s">
        <x:v>33</x:v>
      </x:c>
      <x:c r="B14" s="139" t="s">
        <x:v>190</x:v>
      </x:c>
      <x:c r="C14" s="139" t="s">
        <x:v>129</x:v>
      </x:c>
      <x:c r="D14" s="139">
        <x:v>283</x:v>
      </x:c>
      <x:c r="E14" s="139">
        <x:v>117</x:v>
      </x:c>
      <x:c r="F14" s="139">
        <x:v>400</x:v>
      </x:c>
      <x:c r="G14" s="139">
        <x:v>243</x:v>
      </x:c>
      <x:c r="H14" s="139">
        <x:v>40</x:v>
      </x:c>
      <x:c r="I14" s="139">
        <x:v>113</x:v>
      </x:c>
      <x:c r="J14" s="139">
        <x:v>4</x:v>
      </x:c>
      <x:c r="K14" s="157">
        <x:v>0.858657</x:v>
      </x:c>
      <x:c r="L14" s="157">
        <x:v>3.4188000000000003E-2</x:v>
      </x:c>
      <x:c r="M14" s="157">
        <x:v>0.61750000000000005</x:v>
      </x:c>
    </x:row>
    <x:row r="15" ht="14.25" customHeight="1">
      <x:c r="A15" s="136" t="s">
        <x:v>33</x:v>
      </x:c>
      <x:c r="B15" s="136" t="s">
        <x:v>191</x:v>
      </x:c>
      <x:c r="C15" s="136" t="s">
        <x:v>130</x:v>
      </x:c>
      <x:c r="D15" s="136">
        <x:v>283</x:v>
      </x:c>
      <x:c r="E15" s="136">
        <x:v>117</x:v>
      </x:c>
      <x:c r="F15" s="136">
        <x:v>400</x:v>
      </x:c>
      <x:c r="G15" s="136">
        <x:v>239</x:v>
      </x:c>
      <x:c r="H15" s="136">
        <x:v>44</x:v>
      </x:c>
      <x:c r="I15" s="136">
        <x:v>78</x:v>
      </x:c>
      <x:c r="J15" s="136">
        <x:v>39</x:v>
      </x:c>
      <x:c r="K15" s="156">
        <x:v>0.84452300000000002</x:v>
      </x:c>
      <x:c r="L15" s="156">
        <x:v>0.33333299999999999</x:v>
      </x:c>
      <x:c r="M15" s="156">
        <x:v>0.69499999999999995</x:v>
      </x:c>
    </x:row>
    <x:row r="16" ht="14.25" customHeight="1">
      <x:c r="A16" s="139" t="s">
        <x:v>33</x:v>
      </x:c>
      <x:c r="B16" s="139" t="s">
        <x:v>192</x:v>
      </x:c>
      <x:c r="C16" s="139" t="s">
        <x:v>131</x:v>
      </x:c>
      <x:c r="D16" s="139">
        <x:v>283</x:v>
      </x:c>
      <x:c r="E16" s="139">
        <x:v>117</x:v>
      </x:c>
      <x:c r="F16" s="139">
        <x:v>400</x:v>
      </x:c>
      <x:c r="G16" s="139">
        <x:v>199</x:v>
      </x:c>
      <x:c r="H16" s="139">
        <x:v>84</x:v>
      </x:c>
      <x:c r="I16" s="139">
        <x:v>106</x:v>
      </x:c>
      <x:c r="J16" s="139">
        <x:v>11</x:v>
      </x:c>
      <x:c r="K16" s="157">
        <x:v>0.70318000000000003</x:v>
      </x:c>
      <x:c r="L16" s="157">
        <x:v>9.4017000000000003E-2</x:v>
      </x:c>
      <x:c r="M16" s="157">
        <x:v>0.52500000000000002</x:v>
      </x:c>
    </x:row>
    <x:row r="17" ht="14.25" customHeight="1">
      <x:c r="A17" s="136" t="s">
        <x:v>35</x:v>
      </x:c>
      <x:c r="B17" s="136" t="s">
        <x:v>188</x:v>
      </x:c>
      <x:c r="C17" s="136" t="s">
        <x:v>127</x:v>
      </x:c>
      <x:c r="D17" s="136">
        <x:v>283</x:v>
      </x:c>
      <x:c r="E17" s="136">
        <x:v>117</x:v>
      </x:c>
      <x:c r="F17" s="136">
        <x:v>400</x:v>
      </x:c>
      <x:c r="G17" s="136">
        <x:v>238</x:v>
      </x:c>
      <x:c r="H17" s="136">
        <x:v>45</x:v>
      </x:c>
      <x:c r="I17" s="136">
        <x:v>69</x:v>
      </x:c>
      <x:c r="J17" s="136">
        <x:v>48</x:v>
      </x:c>
      <x:c r="K17" s="156">
        <x:v>0.84098899999999999</x:v>
      </x:c>
      <x:c r="L17" s="156">
        <x:v>0.41025600000000001</x:v>
      </x:c>
      <x:c r="M17" s="156">
        <x:v>0.71499999999999997</x:v>
      </x:c>
    </x:row>
    <x:row r="18" ht="14.25" customHeight="1">
      <x:c r="A18" s="139" t="s">
        <x:v>35</x:v>
      </x:c>
      <x:c r="B18" s="139" t="s">
        <x:v>189</x:v>
      </x:c>
      <x:c r="C18" s="139" t="s">
        <x:v>128</x:v>
      </x:c>
      <x:c r="D18" s="139">
        <x:v>283</x:v>
      </x:c>
      <x:c r="E18" s="139">
        <x:v>117</x:v>
      </x:c>
      <x:c r="F18" s="139">
        <x:v>400</x:v>
      </x:c>
      <x:c r="G18" s="139">
        <x:v>238</x:v>
      </x:c>
      <x:c r="H18" s="139">
        <x:v>45</x:v>
      </x:c>
      <x:c r="I18" s="139">
        <x:v>79</x:v>
      </x:c>
      <x:c r="J18" s="139">
        <x:v>38</x:v>
      </x:c>
      <x:c r="K18" s="157">
        <x:v>0.84098899999999999</x:v>
      </x:c>
      <x:c r="L18" s="157">
        <x:v>0.32478600000000002</x:v>
      </x:c>
      <x:c r="M18" s="157">
        <x:v>0.69</x:v>
      </x:c>
    </x:row>
    <x:row r="19" ht="14.25" customHeight="1">
      <x:c r="A19" s="136" t="s">
        <x:v>35</x:v>
      </x:c>
      <x:c r="B19" s="136" t="s">
        <x:v>190</x:v>
      </x:c>
      <x:c r="C19" s="136" t="s">
        <x:v>129</x:v>
      </x:c>
      <x:c r="D19" s="136">
        <x:v>283</x:v>
      </x:c>
      <x:c r="E19" s="136">
        <x:v>117</x:v>
      </x:c>
      <x:c r="F19" s="136">
        <x:v>400</x:v>
      </x:c>
      <x:c r="G19" s="136">
        <x:v>238</x:v>
      </x:c>
      <x:c r="H19" s="136">
        <x:v>45</x:v>
      </x:c>
      <x:c r="I19" s="136">
        <x:v>110</x:v>
      </x:c>
      <x:c r="J19" s="136">
        <x:v>7</x:v>
      </x:c>
      <x:c r="K19" s="156">
        <x:v>0.84098899999999999</x:v>
      </x:c>
      <x:c r="L19" s="156">
        <x:v>5.9829E-2</x:v>
      </x:c>
      <x:c r="M19" s="156">
        <x:v>0.61250000000000004</x:v>
      </x:c>
    </x:row>
    <x:row r="20" ht="14.25" customHeight="1">
      <x:c r="A20" s="139" t="s">
        <x:v>35</x:v>
      </x:c>
      <x:c r="B20" s="139" t="s">
        <x:v>191</x:v>
      </x:c>
      <x:c r="C20" s="139" t="s">
        <x:v>130</x:v>
      </x:c>
      <x:c r="D20" s="139">
        <x:v>283</x:v>
      </x:c>
      <x:c r="E20" s="139">
        <x:v>117</x:v>
      </x:c>
      <x:c r="F20" s="139">
        <x:v>400</x:v>
      </x:c>
      <x:c r="G20" s="139">
        <x:v>236</x:v>
      </x:c>
      <x:c r="H20" s="139">
        <x:v>47</x:v>
      </x:c>
      <x:c r="I20" s="139">
        <x:v>81</x:v>
      </x:c>
      <x:c r="J20" s="139">
        <x:v>36</x:v>
      </x:c>
      <x:c r="K20" s="157">
        <x:v>0.83392200000000005</x:v>
      </x:c>
      <x:c r="L20" s="157">
        <x:v>0.30769200000000002</x:v>
      </x:c>
      <x:c r="M20" s="157">
        <x:v>0.68</x:v>
      </x:c>
    </x:row>
    <x:row r="21" ht="14.25" customHeight="1">
      <x:c r="A21" s="136" t="s">
        <x:v>35</x:v>
      </x:c>
      <x:c r="B21" s="136" t="s">
        <x:v>192</x:v>
      </x:c>
      <x:c r="C21" s="136" t="s">
        <x:v>131</x:v>
      </x:c>
      <x:c r="D21" s="136">
        <x:v>283</x:v>
      </x:c>
      <x:c r="E21" s="136">
        <x:v>117</x:v>
      </x:c>
      <x:c r="F21" s="136">
        <x:v>400</x:v>
      </x:c>
      <x:c r="G21" s="136">
        <x:v>201</x:v>
      </x:c>
      <x:c r="H21" s="136">
        <x:v>82</x:v>
      </x:c>
      <x:c r="I21" s="136">
        <x:v>104</x:v>
      </x:c>
      <x:c r="J21" s="136">
        <x:v>13</x:v>
      </x:c>
      <x:c r="K21" s="156">
        <x:v>0.71024699999999996</x:v>
      </x:c>
      <x:c r="L21" s="156">
        <x:v>0.111111</x:v>
      </x:c>
      <x:c r="M21" s="156">
        <x:v>0.53500000000000003</x:v>
      </x:c>
    </x:row>
    <x:row r="22" ht="14.25" customHeight="1">
      <x:c r="A22" s="139" t="s">
        <x:v>37</x:v>
      </x:c>
      <x:c r="B22" s="139" t="s">
        <x:v>188</x:v>
      </x:c>
      <x:c r="C22" s="139" t="s">
        <x:v>127</x:v>
      </x:c>
      <x:c r="D22" s="139">
        <x:v>283</x:v>
      </x:c>
      <x:c r="E22" s="139">
        <x:v>117</x:v>
      </x:c>
      <x:c r="F22" s="139">
        <x:v>400</x:v>
      </x:c>
      <x:c r="G22" s="139">
        <x:v>240</x:v>
      </x:c>
      <x:c r="H22" s="139">
        <x:v>43</x:v>
      </x:c>
      <x:c r="I22" s="139">
        <x:v>72</x:v>
      </x:c>
      <x:c r="J22" s="139">
        <x:v>45</x:v>
      </x:c>
      <x:c r="K22" s="157">
        <x:v>0.84805699999999995</x:v>
      </x:c>
      <x:c r="L22" s="157">
        <x:v>0.38461499999999998</x:v>
      </x:c>
      <x:c r="M22" s="157">
        <x:v>0.71250000000000002</x:v>
      </x:c>
    </x:row>
    <x:row r="23" ht="14.25" customHeight="1">
      <x:c r="A23" s="136" t="s">
        <x:v>37</x:v>
      </x:c>
      <x:c r="B23" s="136" t="s">
        <x:v>189</x:v>
      </x:c>
      <x:c r="C23" s="136" t="s">
        <x:v>128</x:v>
      </x:c>
      <x:c r="D23" s="136">
        <x:v>283</x:v>
      </x:c>
      <x:c r="E23" s="136">
        <x:v>117</x:v>
      </x:c>
      <x:c r="F23" s="136">
        <x:v>400</x:v>
      </x:c>
      <x:c r="G23" s="136">
        <x:v>235</x:v>
      </x:c>
      <x:c r="H23" s="136">
        <x:v>48</x:v>
      </x:c>
      <x:c r="I23" s="136">
        <x:v>79</x:v>
      </x:c>
      <x:c r="J23" s="136">
        <x:v>38</x:v>
      </x:c>
      <x:c r="K23" s="156">
        <x:v>0.83038900000000004</x:v>
      </x:c>
      <x:c r="L23" s="156">
        <x:v>0.32478600000000002</x:v>
      </x:c>
      <x:c r="M23" s="156">
        <x:v>0.6825</x:v>
      </x:c>
    </x:row>
    <x:row r="24" ht="14.25" customHeight="1">
      <x:c r="A24" s="139" t="s">
        <x:v>37</x:v>
      </x:c>
      <x:c r="B24" s="139" t="s">
        <x:v>190</x:v>
      </x:c>
      <x:c r="C24" s="139" t="s">
        <x:v>129</x:v>
      </x:c>
      <x:c r="D24" s="139">
        <x:v>283</x:v>
      </x:c>
      <x:c r="E24" s="139">
        <x:v>117</x:v>
      </x:c>
      <x:c r="F24" s="139">
        <x:v>400</x:v>
      </x:c>
      <x:c r="G24" s="139">
        <x:v>240</x:v>
      </x:c>
      <x:c r="H24" s="139">
        <x:v>43</x:v>
      </x:c>
      <x:c r="I24" s="139">
        <x:v>110</x:v>
      </x:c>
      <x:c r="J24" s="139">
        <x:v>7</x:v>
      </x:c>
      <x:c r="K24" s="157">
        <x:v>0.84805699999999995</x:v>
      </x:c>
      <x:c r="L24" s="157">
        <x:v>5.9829E-2</x:v>
      </x:c>
      <x:c r="M24" s="157">
        <x:v>0.61750000000000005</x:v>
      </x:c>
    </x:row>
    <x:row r="25" ht="14.25" customHeight="1">
      <x:c r="A25" s="136" t="s">
        <x:v>37</x:v>
      </x:c>
      <x:c r="B25" s="136" t="s">
        <x:v>191</x:v>
      </x:c>
      <x:c r="C25" s="136" t="s">
        <x:v>130</x:v>
      </x:c>
      <x:c r="D25" s="136">
        <x:v>283</x:v>
      </x:c>
      <x:c r="E25" s="136">
        <x:v>117</x:v>
      </x:c>
      <x:c r="F25" s="136">
        <x:v>400</x:v>
      </x:c>
      <x:c r="G25" s="136">
        <x:v>236</x:v>
      </x:c>
      <x:c r="H25" s="136">
        <x:v>47</x:v>
      </x:c>
      <x:c r="I25" s="136">
        <x:v>78</x:v>
      </x:c>
      <x:c r="J25" s="136">
        <x:v>39</x:v>
      </x:c>
      <x:c r="K25" s="156">
        <x:v>0.83392200000000005</x:v>
      </x:c>
      <x:c r="L25" s="156">
        <x:v>0.33333299999999999</x:v>
      </x:c>
      <x:c r="M25" s="156">
        <x:v>0.6875</x:v>
      </x:c>
    </x:row>
    <x:row r="26" ht="14.25" customHeight="1">
      <x:c r="A26" s="139" t="s">
        <x:v>37</x:v>
      </x:c>
      <x:c r="B26" s="139" t="s">
        <x:v>192</x:v>
      </x:c>
      <x:c r="C26" s="139" t="s">
        <x:v>131</x:v>
      </x:c>
      <x:c r="D26" s="139">
        <x:v>283</x:v>
      </x:c>
      <x:c r="E26" s="139">
        <x:v>117</x:v>
      </x:c>
      <x:c r="F26" s="139">
        <x:v>400</x:v>
      </x:c>
      <x:c r="G26" s="139">
        <x:v>198</x:v>
      </x:c>
      <x:c r="H26" s="139">
        <x:v>85</x:v>
      </x:c>
      <x:c r="I26" s="139">
        <x:v>106</x:v>
      </x:c>
      <x:c r="J26" s="139">
        <x:v>11</x:v>
      </x:c>
      <x:c r="K26" s="157">
        <x:v>0.69964700000000002</x:v>
      </x:c>
      <x:c r="L26" s="157">
        <x:v>9.4017000000000003E-2</x:v>
      </x:c>
      <x:c r="M26" s="157">
        <x:v>0.52249999999999996</x:v>
      </x:c>
    </x:row>
    <x:row r="27" ht="14.25" customHeight="1">
      <x:c r="A27" s="136" t="s">
        <x:v>38</x:v>
      </x:c>
      <x:c r="B27" s="136" t="s">
        <x:v>188</x:v>
      </x:c>
      <x:c r="C27" s="136" t="s">
        <x:v>127</x:v>
      </x:c>
      <x:c r="D27" s="136">
        <x:v>283</x:v>
      </x:c>
      <x:c r="E27" s="136">
        <x:v>117</x:v>
      </x:c>
      <x:c r="F27" s="136">
        <x:v>400</x:v>
      </x:c>
      <x:c r="G27" s="136">
        <x:v>239</x:v>
      </x:c>
      <x:c r="H27" s="136">
        <x:v>44</x:v>
      </x:c>
      <x:c r="I27" s="136">
        <x:v>69</x:v>
      </x:c>
      <x:c r="J27" s="136">
        <x:v>48</x:v>
      </x:c>
      <x:c r="K27" s="156">
        <x:v>0.84452300000000002</x:v>
      </x:c>
      <x:c r="L27" s="156">
        <x:v>0.41025600000000001</x:v>
      </x:c>
      <x:c r="M27" s="156">
        <x:v>0.71750000000000003</x:v>
      </x:c>
    </x:row>
    <x:row r="28" ht="14.25" customHeight="1">
      <x:c r="A28" s="139" t="s">
        <x:v>38</x:v>
      </x:c>
      <x:c r="B28" s="139" t="s">
        <x:v>189</x:v>
      </x:c>
      <x:c r="C28" s="139" t="s">
        <x:v>128</x:v>
      </x:c>
      <x:c r="D28" s="139">
        <x:v>283</x:v>
      </x:c>
      <x:c r="E28" s="139">
        <x:v>117</x:v>
      </x:c>
      <x:c r="F28" s="139">
        <x:v>400</x:v>
      </x:c>
      <x:c r="G28" s="139">
        <x:v>236</x:v>
      </x:c>
      <x:c r="H28" s="139">
        <x:v>47</x:v>
      </x:c>
      <x:c r="I28" s="139">
        <x:v>80</x:v>
      </x:c>
      <x:c r="J28" s="139">
        <x:v>37</x:v>
      </x:c>
      <x:c r="K28" s="157">
        <x:v>0.83392200000000005</x:v>
      </x:c>
      <x:c r="L28" s="157">
        <x:v>0.31623899999999999</x:v>
      </x:c>
      <x:c r="M28" s="157">
        <x:v>0.6825</x:v>
      </x:c>
    </x:row>
    <x:row r="29" ht="14.25" customHeight="1">
      <x:c r="A29" s="136" t="s">
        <x:v>38</x:v>
      </x:c>
      <x:c r="B29" s="136" t="s">
        <x:v>190</x:v>
      </x:c>
      <x:c r="C29" s="136" t="s">
        <x:v>129</x:v>
      </x:c>
      <x:c r="D29" s="136">
        <x:v>283</x:v>
      </x:c>
      <x:c r="E29" s="136">
        <x:v>117</x:v>
      </x:c>
      <x:c r="F29" s="136">
        <x:v>400</x:v>
      </x:c>
      <x:c r="G29" s="136">
        <x:v>238</x:v>
      </x:c>
      <x:c r="H29" s="136">
        <x:v>45</x:v>
      </x:c>
      <x:c r="I29" s="136">
        <x:v>111</x:v>
      </x:c>
      <x:c r="J29" s="136">
        <x:v>6</x:v>
      </x:c>
      <x:c r="K29" s="156">
        <x:v>0.84098899999999999</x:v>
      </x:c>
      <x:c r="L29" s="156">
        <x:v>5.1282000000000001E-2</x:v>
      </x:c>
      <x:c r="M29" s="156">
        <x:v>0.61</x:v>
      </x:c>
    </x:row>
    <x:row r="30" ht="14.25" customHeight="1">
      <x:c r="A30" s="139" t="s">
        <x:v>38</x:v>
      </x:c>
      <x:c r="B30" s="139" t="s">
        <x:v>191</x:v>
      </x:c>
      <x:c r="C30" s="139" t="s">
        <x:v>130</x:v>
      </x:c>
      <x:c r="D30" s="139">
        <x:v>283</x:v>
      </x:c>
      <x:c r="E30" s="139">
        <x:v>117</x:v>
      </x:c>
      <x:c r="F30" s="139">
        <x:v>400</x:v>
      </x:c>
      <x:c r="G30" s="139">
        <x:v>238</x:v>
      </x:c>
      <x:c r="H30" s="139">
        <x:v>45</x:v>
      </x:c>
      <x:c r="I30" s="139">
        <x:v>79</x:v>
      </x:c>
      <x:c r="J30" s="139">
        <x:v>38</x:v>
      </x:c>
      <x:c r="K30" s="157">
        <x:v>0.84098899999999999</x:v>
      </x:c>
      <x:c r="L30" s="157">
        <x:v>0.32478600000000002</x:v>
      </x:c>
      <x:c r="M30" s="157">
        <x:v>0.69</x:v>
      </x:c>
    </x:row>
    <x:row r="31" ht="14.25" customHeight="1">
      <x:c r="A31" s="136" t="s">
        <x:v>38</x:v>
      </x:c>
      <x:c r="B31" s="136" t="s">
        <x:v>192</x:v>
      </x:c>
      <x:c r="C31" s="136" t="s">
        <x:v>131</x:v>
      </x:c>
      <x:c r="D31" s="136">
        <x:v>283</x:v>
      </x:c>
      <x:c r="E31" s="136">
        <x:v>117</x:v>
      </x:c>
      <x:c r="F31" s="136">
        <x:v>400</x:v>
      </x:c>
      <x:c r="G31" s="136">
        <x:v>201</x:v>
      </x:c>
      <x:c r="H31" s="136">
        <x:v>82</x:v>
      </x:c>
      <x:c r="I31" s="136">
        <x:v>105</x:v>
      </x:c>
      <x:c r="J31" s="136">
        <x:v>12</x:v>
      </x:c>
      <x:c r="K31" s="156">
        <x:v>0.71024699999999996</x:v>
      </x:c>
      <x:c r="L31" s="156">
        <x:v>0.102564</x:v>
      </x:c>
      <x:c r="M31" s="156">
        <x:v>0.53249999999999997</x:v>
      </x:c>
    </x:row>
    <x:row r="32" ht="14.25" customHeight="1">
      <x:c r="A32" s="139" t="s">
        <x:v>40</x:v>
      </x:c>
      <x:c r="B32" s="139" t="s">
        <x:v>188</x:v>
      </x:c>
      <x:c r="C32" s="139" t="s">
        <x:v>127</x:v>
      </x:c>
      <x:c r="D32" s="139">
        <x:v>283</x:v>
      </x:c>
      <x:c r="E32" s="139">
        <x:v>117</x:v>
      </x:c>
      <x:c r="F32" s="139">
        <x:v>400</x:v>
      </x:c>
      <x:c r="G32" s="139">
        <x:v>237</x:v>
      </x:c>
      <x:c r="H32" s="139">
        <x:v>46</x:v>
      </x:c>
      <x:c r="I32" s="139">
        <x:v>69</x:v>
      </x:c>
      <x:c r="J32" s="139">
        <x:v>48</x:v>
      </x:c>
      <x:c r="K32" s="157">
        <x:v>0.83745599999999998</x:v>
      </x:c>
      <x:c r="L32" s="157">
        <x:v>0.41025600000000001</x:v>
      </x:c>
      <x:c r="M32" s="157">
        <x:v>0.71250000000000002</x:v>
      </x:c>
    </x:row>
    <x:row r="33" ht="14.25" customHeight="1">
      <x:c r="A33" s="136" t="s">
        <x:v>40</x:v>
      </x:c>
      <x:c r="B33" s="136" t="s">
        <x:v>189</x:v>
      </x:c>
      <x:c r="C33" s="136" t="s">
        <x:v>128</x:v>
      </x:c>
      <x:c r="D33" s="136">
        <x:v>283</x:v>
      </x:c>
      <x:c r="E33" s="136">
        <x:v>117</x:v>
      </x:c>
      <x:c r="F33" s="136">
        <x:v>400</x:v>
      </x:c>
      <x:c r="G33" s="136">
        <x:v>238</x:v>
      </x:c>
      <x:c r="H33" s="136">
        <x:v>45</x:v>
      </x:c>
      <x:c r="I33" s="136">
        <x:v>81</x:v>
      </x:c>
      <x:c r="J33" s="136">
        <x:v>36</x:v>
      </x:c>
      <x:c r="K33" s="156">
        <x:v>0.84098899999999999</x:v>
      </x:c>
      <x:c r="L33" s="156">
        <x:v>0.30769200000000002</x:v>
      </x:c>
      <x:c r="M33" s="156">
        <x:v>0.68500000000000005</x:v>
      </x:c>
    </x:row>
    <x:row r="34" ht="14.25" customHeight="1">
      <x:c r="A34" s="139" t="s">
        <x:v>40</x:v>
      </x:c>
      <x:c r="B34" s="139" t="s">
        <x:v>190</x:v>
      </x:c>
      <x:c r="C34" s="139" t="s">
        <x:v>129</x:v>
      </x:c>
      <x:c r="D34" s="139">
        <x:v>283</x:v>
      </x:c>
      <x:c r="E34" s="139">
        <x:v>117</x:v>
      </x:c>
      <x:c r="F34" s="139">
        <x:v>400</x:v>
      </x:c>
      <x:c r="G34" s="139">
        <x:v>239</x:v>
      </x:c>
      <x:c r="H34" s="139">
        <x:v>44</x:v>
      </x:c>
      <x:c r="I34" s="139">
        <x:v>113</x:v>
      </x:c>
      <x:c r="J34" s="139">
        <x:v>4</x:v>
      </x:c>
      <x:c r="K34" s="157">
        <x:v>0.84452300000000002</x:v>
      </x:c>
      <x:c r="L34" s="157">
        <x:v>3.4188000000000003E-2</x:v>
      </x:c>
      <x:c r="M34" s="157">
        <x:v>0.60750000000000004</x:v>
      </x:c>
    </x:row>
    <x:row r="35" ht="14.25" customHeight="1">
      <x:c r="A35" s="136" t="s">
        <x:v>40</x:v>
      </x:c>
      <x:c r="B35" s="136" t="s">
        <x:v>191</x:v>
      </x:c>
      <x:c r="C35" s="136" t="s">
        <x:v>130</x:v>
      </x:c>
      <x:c r="D35" s="136">
        <x:v>283</x:v>
      </x:c>
      <x:c r="E35" s="136">
        <x:v>117</x:v>
      </x:c>
      <x:c r="F35" s="136">
        <x:v>400</x:v>
      </x:c>
      <x:c r="G35" s="136">
        <x:v>230</x:v>
      </x:c>
      <x:c r="H35" s="136">
        <x:v>53</x:v>
      </x:c>
      <x:c r="I35" s="136">
        <x:v>75</x:v>
      </x:c>
      <x:c r="J35" s="136">
        <x:v>42</x:v>
      </x:c>
      <x:c r="K35" s="156">
        <x:v>0.81272100000000003</x:v>
      </x:c>
      <x:c r="L35" s="156">
        <x:v>0.35897400000000002</x:v>
      </x:c>
      <x:c r="M35" s="156">
        <x:v>0.68</x:v>
      </x:c>
    </x:row>
    <x:row r="36" ht="14.25" customHeight="1">
      <x:c r="A36" s="139" t="s">
        <x:v>40</x:v>
      </x:c>
      <x:c r="B36" s="139" t="s">
        <x:v>192</x:v>
      </x:c>
      <x:c r="C36" s="139" t="s">
        <x:v>131</x:v>
      </x:c>
      <x:c r="D36" s="139">
        <x:v>283</x:v>
      </x:c>
      <x:c r="E36" s="139">
        <x:v>117</x:v>
      </x:c>
      <x:c r="F36" s="139">
        <x:v>400</x:v>
      </x:c>
      <x:c r="G36" s="139">
        <x:v>196</x:v>
      </x:c>
      <x:c r="H36" s="139">
        <x:v>87</x:v>
      </x:c>
      <x:c r="I36" s="139">
        <x:v>101</x:v>
      </x:c>
      <x:c r="J36" s="139">
        <x:v>16</x:v>
      </x:c>
      <x:c r="K36" s="157">
        <x:v>0.69257999999999997</x:v>
      </x:c>
      <x:c r="L36" s="157">
        <x:v>0.13675200000000001</x:v>
      </x:c>
      <x:c r="M36" s="157">
        <x:v>0.53</x:v>
      </x:c>
    </x:row>
    <x:row r="37" ht="14.25" customHeight="1">
      <x:c r="A37" s="136" t="s">
        <x:v>44</x:v>
      </x:c>
      <x:c r="B37" s="136" t="s">
        <x:v>188</x:v>
      </x:c>
      <x:c r="C37" s="136" t="s">
        <x:v>127</x:v>
      </x:c>
      <x:c r="D37" s="136">
        <x:v>283</x:v>
      </x:c>
      <x:c r="E37" s="136">
        <x:v>117</x:v>
      </x:c>
      <x:c r="F37" s="136">
        <x:v>400</x:v>
      </x:c>
      <x:c r="G37" s="136">
        <x:v>245</x:v>
      </x:c>
      <x:c r="H37" s="136">
        <x:v>38</x:v>
      </x:c>
      <x:c r="I37" s="136">
        <x:v>72</x:v>
      </x:c>
      <x:c r="J37" s="136">
        <x:v>45</x:v>
      </x:c>
      <x:c r="K37" s="156">
        <x:v>0.86572400000000005</x:v>
      </x:c>
      <x:c r="L37" s="156">
        <x:v>0.38461499999999998</x:v>
      </x:c>
      <x:c r="M37" s="156">
        <x:v>0.72499999999999998</x:v>
      </x:c>
    </x:row>
    <x:row r="38" ht="14.25" customHeight="1">
      <x:c r="A38" s="139" t="s">
        <x:v>44</x:v>
      </x:c>
      <x:c r="B38" s="139" t="s">
        <x:v>189</x:v>
      </x:c>
      <x:c r="C38" s="139" t="s">
        <x:v>128</x:v>
      </x:c>
      <x:c r="D38" s="139">
        <x:v>283</x:v>
      </x:c>
      <x:c r="E38" s="139">
        <x:v>117</x:v>
      </x:c>
      <x:c r="F38" s="139">
        <x:v>400</x:v>
      </x:c>
      <x:c r="G38" s="139">
        <x:v>238</x:v>
      </x:c>
      <x:c r="H38" s="139">
        <x:v>45</x:v>
      </x:c>
      <x:c r="I38" s="139">
        <x:v>82</x:v>
      </x:c>
      <x:c r="J38" s="139">
        <x:v>35</x:v>
      </x:c>
      <x:c r="K38" s="157">
        <x:v>0.84098899999999999</x:v>
      </x:c>
      <x:c r="L38" s="157">
        <x:v>0.29914499999999999</x:v>
      </x:c>
      <x:c r="M38" s="157">
        <x:v>0.6825</x:v>
      </x:c>
    </x:row>
    <x:row r="39" ht="14.25" customHeight="1">
      <x:c r="A39" s="136" t="s">
        <x:v>44</x:v>
      </x:c>
      <x:c r="B39" s="136" t="s">
        <x:v>190</x:v>
      </x:c>
      <x:c r="C39" s="136" t="s">
        <x:v>129</x:v>
      </x:c>
      <x:c r="D39" s="136">
        <x:v>283</x:v>
      </x:c>
      <x:c r="E39" s="136">
        <x:v>117</x:v>
      </x:c>
      <x:c r="F39" s="136">
        <x:v>400</x:v>
      </x:c>
      <x:c r="G39" s="136">
        <x:v>237</x:v>
      </x:c>
      <x:c r="H39" s="136">
        <x:v>46</x:v>
      </x:c>
      <x:c r="I39" s="136">
        <x:v>111</x:v>
      </x:c>
      <x:c r="J39" s="136">
        <x:v>6</x:v>
      </x:c>
      <x:c r="K39" s="156">
        <x:v>0.83745599999999998</x:v>
      </x:c>
      <x:c r="L39" s="156">
        <x:v>5.1282000000000001E-2</x:v>
      </x:c>
      <x:c r="M39" s="156">
        <x:v>0.60750000000000004</x:v>
      </x:c>
    </x:row>
    <x:row r="40" ht="14.25" customHeight="1">
      <x:c r="A40" s="139" t="s">
        <x:v>44</x:v>
      </x:c>
      <x:c r="B40" s="139" t="s">
        <x:v>191</x:v>
      </x:c>
      <x:c r="C40" s="139" t="s">
        <x:v>130</x:v>
      </x:c>
      <x:c r="D40" s="139">
        <x:v>283</x:v>
      </x:c>
      <x:c r="E40" s="139">
        <x:v>117</x:v>
      </x:c>
      <x:c r="F40" s="139">
        <x:v>400</x:v>
      </x:c>
      <x:c r="G40" s="139">
        <x:v>232</x:v>
      </x:c>
      <x:c r="H40" s="139">
        <x:v>51</x:v>
      </x:c>
      <x:c r="I40" s="139">
        <x:v>76</x:v>
      </x:c>
      <x:c r="J40" s="139">
        <x:v>41</x:v>
      </x:c>
      <x:c r="K40" s="157">
        <x:v>0.81978799999999996</x:v>
      </x:c>
      <x:c r="L40" s="157">
        <x:v>0.35042699999999999</x:v>
      </x:c>
      <x:c r="M40" s="157">
        <x:v>0.6825</x:v>
      </x:c>
    </x:row>
    <x:row r="41" ht="14.25" customHeight="1">
      <x:c r="A41" s="136" t="s">
        <x:v>44</x:v>
      </x:c>
      <x:c r="B41" s="136" t="s">
        <x:v>192</x:v>
      </x:c>
      <x:c r="C41" s="136" t="s">
        <x:v>131</x:v>
      </x:c>
      <x:c r="D41" s="136">
        <x:v>283</x:v>
      </x:c>
      <x:c r="E41" s="136">
        <x:v>117</x:v>
      </x:c>
      <x:c r="F41" s="136">
        <x:v>400</x:v>
      </x:c>
      <x:c r="G41" s="136">
        <x:v>191</x:v>
      </x:c>
      <x:c r="H41" s="136">
        <x:v>92</x:v>
      </x:c>
      <x:c r="I41" s="136">
        <x:v>101</x:v>
      </x:c>
      <x:c r="J41" s="136">
        <x:v>16</x:v>
      </x:c>
      <x:c r="K41" s="156">
        <x:v>0.67491199999999996</x:v>
      </x:c>
      <x:c r="L41" s="156">
        <x:v>0.13675200000000001</x:v>
      </x:c>
      <x:c r="M41" s="156">
        <x:v>0.51749999999999996</x:v>
      </x:c>
    </x:row>
    <x:row r="42" ht="14.25" customHeight="1">
      <x:c r="A42" s="139" t="s">
        <x:v>48</x:v>
      </x:c>
      <x:c r="B42" s="139" t="s">
        <x:v>188</x:v>
      </x:c>
      <x:c r="C42" s="139" t="s">
        <x:v>127</x:v>
      </x:c>
      <x:c r="D42" s="139">
        <x:v>283</x:v>
      </x:c>
      <x:c r="E42" s="139">
        <x:v>117</x:v>
      </x:c>
      <x:c r="F42" s="139">
        <x:v>400</x:v>
      </x:c>
      <x:c r="G42" s="139">
        <x:v>237</x:v>
      </x:c>
      <x:c r="H42" s="139">
        <x:v>46</x:v>
      </x:c>
      <x:c r="I42" s="139">
        <x:v>55</x:v>
      </x:c>
      <x:c r="J42" s="139">
        <x:v>62</x:v>
      </x:c>
      <x:c r="K42" s="157">
        <x:v>0.83745599999999998</x:v>
      </x:c>
      <x:c r="L42" s="157">
        <x:v>0.52991500000000002</x:v>
      </x:c>
      <x:c r="M42" s="157">
        <x:v>0.74750000000000005</x:v>
      </x:c>
    </x:row>
    <x:row r="43" ht="14.25" customHeight="1">
      <x:c r="A43" s="136" t="s">
        <x:v>48</x:v>
      </x:c>
      <x:c r="B43" s="136" t="s">
        <x:v>189</x:v>
      </x:c>
      <x:c r="C43" s="136" t="s">
        <x:v>128</x:v>
      </x:c>
      <x:c r="D43" s="136">
        <x:v>283</x:v>
      </x:c>
      <x:c r="E43" s="136">
        <x:v>117</x:v>
      </x:c>
      <x:c r="F43" s="136">
        <x:v>400</x:v>
      </x:c>
      <x:c r="G43" s="136">
        <x:v>240</x:v>
      </x:c>
      <x:c r="H43" s="136">
        <x:v>43</x:v>
      </x:c>
      <x:c r="I43" s="136">
        <x:v>86</x:v>
      </x:c>
      <x:c r="J43" s="136">
        <x:v>31</x:v>
      </x:c>
      <x:c r="K43" s="156">
        <x:v>0.84805699999999995</x:v>
      </x:c>
      <x:c r="L43" s="156">
        <x:v>0.264957</x:v>
      </x:c>
      <x:c r="M43" s="156">
        <x:v>0.67749999999999999</x:v>
      </x:c>
    </x:row>
    <x:row r="44" ht="14.25" customHeight="1">
      <x:c r="A44" s="139" t="s">
        <x:v>48</x:v>
      </x:c>
      <x:c r="B44" s="139" t="s">
        <x:v>190</x:v>
      </x:c>
      <x:c r="C44" s="139" t="s">
        <x:v>129</x:v>
      </x:c>
      <x:c r="D44" s="139">
        <x:v>283</x:v>
      </x:c>
      <x:c r="E44" s="139">
        <x:v>117</x:v>
      </x:c>
      <x:c r="F44" s="139">
        <x:v>400</x:v>
      </x:c>
      <x:c r="G44" s="139">
        <x:v>239</x:v>
      </x:c>
      <x:c r="H44" s="139">
        <x:v>44</x:v>
      </x:c>
      <x:c r="I44" s="139">
        <x:v>113</x:v>
      </x:c>
      <x:c r="J44" s="139">
        <x:v>4</x:v>
      </x:c>
      <x:c r="K44" s="157">
        <x:v>0.84452300000000002</x:v>
      </x:c>
      <x:c r="L44" s="157">
        <x:v>3.4188000000000003E-2</x:v>
      </x:c>
      <x:c r="M44" s="157">
        <x:v>0.60750000000000004</x:v>
      </x:c>
    </x:row>
    <x:row r="45" ht="14.25" customHeight="1">
      <x:c r="A45" s="136" t="s">
        <x:v>48</x:v>
      </x:c>
      <x:c r="B45" s="136" t="s">
        <x:v>191</x:v>
      </x:c>
      <x:c r="C45" s="136" t="s">
        <x:v>130</x:v>
      </x:c>
      <x:c r="D45" s="136">
        <x:v>283</x:v>
      </x:c>
      <x:c r="E45" s="136">
        <x:v>117</x:v>
      </x:c>
      <x:c r="F45" s="136">
        <x:v>400</x:v>
      </x:c>
      <x:c r="G45" s="136">
        <x:v>237</x:v>
      </x:c>
      <x:c r="H45" s="136">
        <x:v>46</x:v>
      </x:c>
      <x:c r="I45" s="136">
        <x:v>93</x:v>
      </x:c>
      <x:c r="J45" s="136">
        <x:v>24</x:v>
      </x:c>
      <x:c r="K45" s="156">
        <x:v>0.83745599999999998</x:v>
      </x:c>
      <x:c r="L45" s="156">
        <x:v>0.205128</x:v>
      </x:c>
      <x:c r="M45" s="156">
        <x:v>0.65249999999999997</x:v>
      </x:c>
    </x:row>
    <x:row r="46" ht="14.25" customHeight="1">
      <x:c r="A46" s="139" t="s">
        <x:v>48</x:v>
      </x:c>
      <x:c r="B46" s="139" t="s">
        <x:v>192</x:v>
      </x:c>
      <x:c r="C46" s="139" t="s">
        <x:v>131</x:v>
      </x:c>
      <x:c r="D46" s="139">
        <x:v>283</x:v>
      </x:c>
      <x:c r="E46" s="139">
        <x:v>117</x:v>
      </x:c>
      <x:c r="F46" s="139">
        <x:v>400</x:v>
      </x:c>
      <x:c r="G46" s="139">
        <x:v>193</x:v>
      </x:c>
      <x:c r="H46" s="139">
        <x:v>90</x:v>
      </x:c>
      <x:c r="I46" s="139">
        <x:v>103</x:v>
      </x:c>
      <x:c r="J46" s="139">
        <x:v>14</x:v>
      </x:c>
      <x:c r="K46" s="157">
        <x:v>0.681979</x:v>
      </x:c>
      <x:c r="L46" s="157">
        <x:v>0.119658</x:v>
      </x:c>
      <x:c r="M46" s="157">
        <x:v>0.51749999999999996</x:v>
      </x:c>
    </x:row>
    <x:row r="47" ht="14.25" customHeight="1">
      <x:c r="A47" s="136" t="s">
        <x:v>51</x:v>
      </x:c>
      <x:c r="B47" s="136" t="s">
        <x:v>188</x:v>
      </x:c>
      <x:c r="C47" s="136" t="s">
        <x:v>127</x:v>
      </x:c>
      <x:c r="D47" s="136">
        <x:v>283</x:v>
      </x:c>
      <x:c r="E47" s="136">
        <x:v>117</x:v>
      </x:c>
      <x:c r="F47" s="136">
        <x:v>400</x:v>
      </x:c>
      <x:c r="G47" s="136">
        <x:v>241</x:v>
      </x:c>
      <x:c r="H47" s="136">
        <x:v>42</x:v>
      </x:c>
      <x:c r="I47" s="136">
        <x:v>64</x:v>
      </x:c>
      <x:c r="J47" s="136">
        <x:v>53</x:v>
      </x:c>
      <x:c r="K47" s="156">
        <x:v>0.85158999999999996</x:v>
      </x:c>
      <x:c r="L47" s="156">
        <x:v>0.45299099999999998</x:v>
      </x:c>
      <x:c r="M47" s="156">
        <x:v>0.73499999999999999</x:v>
      </x:c>
    </x:row>
    <x:row r="48" ht="14.25" customHeight="1">
      <x:c r="A48" s="139" t="s">
        <x:v>51</x:v>
      </x:c>
      <x:c r="B48" s="139" t="s">
        <x:v>189</x:v>
      </x:c>
      <x:c r="C48" s="139" t="s">
        <x:v>128</x:v>
      </x:c>
      <x:c r="D48" s="139">
        <x:v>283</x:v>
      </x:c>
      <x:c r="E48" s="139">
        <x:v>117</x:v>
      </x:c>
      <x:c r="F48" s="139">
        <x:v>400</x:v>
      </x:c>
      <x:c r="G48" s="139">
        <x:v>240</x:v>
      </x:c>
      <x:c r="H48" s="139">
        <x:v>43</x:v>
      </x:c>
      <x:c r="I48" s="139">
        <x:v>82</x:v>
      </x:c>
      <x:c r="J48" s="139">
        <x:v>35</x:v>
      </x:c>
      <x:c r="K48" s="157">
        <x:v>0.84805699999999995</x:v>
      </x:c>
      <x:c r="L48" s="157">
        <x:v>0.29914499999999999</x:v>
      </x:c>
      <x:c r="M48" s="157">
        <x:v>0.6875</x:v>
      </x:c>
    </x:row>
    <x:row r="49" ht="14.25" customHeight="1">
      <x:c r="A49" s="136" t="s">
        <x:v>51</x:v>
      </x:c>
      <x:c r="B49" s="136" t="s">
        <x:v>190</x:v>
      </x:c>
      <x:c r="C49" s="136" t="s">
        <x:v>129</x:v>
      </x:c>
      <x:c r="D49" s="136">
        <x:v>283</x:v>
      </x:c>
      <x:c r="E49" s="136">
        <x:v>117</x:v>
      </x:c>
      <x:c r="F49" s="136">
        <x:v>400</x:v>
      </x:c>
      <x:c r="G49" s="136">
        <x:v>237</x:v>
      </x:c>
      <x:c r="H49" s="136">
        <x:v>46</x:v>
      </x:c>
      <x:c r="I49" s="136">
        <x:v>112</x:v>
      </x:c>
      <x:c r="J49" s="136">
        <x:v>5</x:v>
      </x:c>
      <x:c r="K49" s="156">
        <x:v>0.83745599999999998</x:v>
      </x:c>
      <x:c r="L49" s="156">
        <x:v>4.2735000000000002E-2</x:v>
      </x:c>
      <x:c r="M49" s="156">
        <x:v>0.60499999999999998</x:v>
      </x:c>
    </x:row>
    <x:row r="50" ht="14.25" customHeight="1">
      <x:c r="A50" s="139" t="s">
        <x:v>51</x:v>
      </x:c>
      <x:c r="B50" s="139" t="s">
        <x:v>191</x:v>
      </x:c>
      <x:c r="C50" s="139" t="s">
        <x:v>130</x:v>
      </x:c>
      <x:c r="D50" s="139">
        <x:v>283</x:v>
      </x:c>
      <x:c r="E50" s="139">
        <x:v>117</x:v>
      </x:c>
      <x:c r="F50" s="139">
        <x:v>400</x:v>
      </x:c>
      <x:c r="G50" s="139">
        <x:v>234</x:v>
      </x:c>
      <x:c r="H50" s="139">
        <x:v>49</x:v>
      </x:c>
      <x:c r="I50" s="139">
        <x:v>83</x:v>
      </x:c>
      <x:c r="J50" s="139">
        <x:v>34</x:v>
      </x:c>
      <x:c r="K50" s="157">
        <x:v>0.82685500000000001</x:v>
      </x:c>
      <x:c r="L50" s="157">
        <x:v>0.29059800000000002</x:v>
      </x:c>
      <x:c r="M50" s="157">
        <x:v>0.67</x:v>
      </x:c>
    </x:row>
    <x:row r="51" ht="14.25" customHeight="1">
      <x:c r="A51" s="136" t="s">
        <x:v>51</x:v>
      </x:c>
      <x:c r="B51" s="136" t="s">
        <x:v>192</x:v>
      </x:c>
      <x:c r="C51" s="136" t="s">
        <x:v>131</x:v>
      </x:c>
      <x:c r="D51" s="136">
        <x:v>283</x:v>
      </x:c>
      <x:c r="E51" s="136">
        <x:v>117</x:v>
      </x:c>
      <x:c r="F51" s="136">
        <x:v>400</x:v>
      </x:c>
      <x:c r="G51" s="136">
        <x:v>196</x:v>
      </x:c>
      <x:c r="H51" s="136">
        <x:v>87</x:v>
      </x:c>
      <x:c r="I51" s="136">
        <x:v>103</x:v>
      </x:c>
      <x:c r="J51" s="136">
        <x:v>14</x:v>
      </x:c>
      <x:c r="K51" s="156">
        <x:v>0.69257999999999997</x:v>
      </x:c>
      <x:c r="L51" s="156">
        <x:v>0.119658</x:v>
      </x:c>
      <x:c r="M51" s="156">
        <x:v>0.52500000000000002</x:v>
      </x:c>
    </x:row>
    <x:row r="52" ht="14.25" customHeight="1">
      <x:c r="A52" s="139" t="s">
        <x:v>52</x:v>
      </x:c>
      <x:c r="B52" s="139" t="s">
        <x:v>188</x:v>
      </x:c>
      <x:c r="C52" s="139" t="s">
        <x:v>127</x:v>
      </x:c>
      <x:c r="D52" s="139">
        <x:v>283</x:v>
      </x:c>
      <x:c r="E52" s="139">
        <x:v>117</x:v>
      </x:c>
      <x:c r="F52" s="139">
        <x:v>400</x:v>
      </x:c>
      <x:c r="G52" s="139">
        <x:v>226</x:v>
      </x:c>
      <x:c r="H52" s="139">
        <x:v>57</x:v>
      </x:c>
      <x:c r="I52" s="139">
        <x:v>58</x:v>
      </x:c>
      <x:c r="J52" s="139">
        <x:v>59</x:v>
      </x:c>
      <x:c r="K52" s="157">
        <x:v>0.79858700000000005</x:v>
      </x:c>
      <x:c r="L52" s="157">
        <x:v>0.504274</x:v>
      </x:c>
      <x:c r="M52" s="157">
        <x:v>0.71250000000000002</x:v>
      </x:c>
    </x:row>
    <x:row r="53" ht="14.25" customHeight="1">
      <x:c r="A53" s="136" t="s">
        <x:v>52</x:v>
      </x:c>
      <x:c r="B53" s="136" t="s">
        <x:v>189</x:v>
      </x:c>
      <x:c r="C53" s="136" t="s">
        <x:v>128</x:v>
      </x:c>
      <x:c r="D53" s="136">
        <x:v>283</x:v>
      </x:c>
      <x:c r="E53" s="136">
        <x:v>117</x:v>
      </x:c>
      <x:c r="F53" s="136">
        <x:v>400</x:v>
      </x:c>
      <x:c r="G53" s="136">
        <x:v>241</x:v>
      </x:c>
      <x:c r="H53" s="136">
        <x:v>42</x:v>
      </x:c>
      <x:c r="I53" s="136">
        <x:v>89</x:v>
      </x:c>
      <x:c r="J53" s="136">
        <x:v>28</x:v>
      </x:c>
      <x:c r="K53" s="156">
        <x:v>0.85158999999999996</x:v>
      </x:c>
      <x:c r="L53" s="156">
        <x:v>0.239316</x:v>
      </x:c>
      <x:c r="M53" s="156">
        <x:v>0.67249999999999999</x:v>
      </x:c>
    </x:row>
    <x:row r="54" ht="14.25" customHeight="1">
      <x:c r="A54" s="139" t="s">
        <x:v>52</x:v>
      </x:c>
      <x:c r="B54" s="139" t="s">
        <x:v>190</x:v>
      </x:c>
      <x:c r="C54" s="139" t="s">
        <x:v>129</x:v>
      </x:c>
      <x:c r="D54" s="139">
        <x:v>283</x:v>
      </x:c>
      <x:c r="E54" s="139">
        <x:v>117</x:v>
      </x:c>
      <x:c r="F54" s="139">
        <x:v>400</x:v>
      </x:c>
      <x:c r="G54" s="139">
        <x:v>239</x:v>
      </x:c>
      <x:c r="H54" s="139">
        <x:v>44</x:v>
      </x:c>
      <x:c r="I54" s="139">
        <x:v>112</x:v>
      </x:c>
      <x:c r="J54" s="139">
        <x:v>5</x:v>
      </x:c>
      <x:c r="K54" s="157">
        <x:v>0.84452300000000002</x:v>
      </x:c>
      <x:c r="L54" s="157">
        <x:v>4.2735000000000002E-2</x:v>
      </x:c>
      <x:c r="M54" s="157">
        <x:v>0.61</x:v>
      </x:c>
    </x:row>
    <x:row r="55" ht="14.25" customHeight="1">
      <x:c r="A55" s="136" t="s">
        <x:v>52</x:v>
      </x:c>
      <x:c r="B55" s="136" t="s">
        <x:v>191</x:v>
      </x:c>
      <x:c r="C55" s="136" t="s">
        <x:v>130</x:v>
      </x:c>
      <x:c r="D55" s="136">
        <x:v>283</x:v>
      </x:c>
      <x:c r="E55" s="136">
        <x:v>117</x:v>
      </x:c>
      <x:c r="F55" s="136">
        <x:v>400</x:v>
      </x:c>
      <x:c r="G55" s="136">
        <x:v>237</x:v>
      </x:c>
      <x:c r="H55" s="136">
        <x:v>46</x:v>
      </x:c>
      <x:c r="I55" s="136">
        <x:v>82</x:v>
      </x:c>
      <x:c r="J55" s="136">
        <x:v>35</x:v>
      </x:c>
      <x:c r="K55" s="156">
        <x:v>0.83745599999999998</x:v>
      </x:c>
      <x:c r="L55" s="156">
        <x:v>0.29914499999999999</x:v>
      </x:c>
      <x:c r="M55" s="156">
        <x:v>0.68</x:v>
      </x:c>
    </x:row>
    <x:row r="56" ht="14.25" customHeight="1">
      <x:c r="A56" s="139" t="s">
        <x:v>52</x:v>
      </x:c>
      <x:c r="B56" s="139" t="s">
        <x:v>192</x:v>
      </x:c>
      <x:c r="C56" s="139" t="s">
        <x:v>131</x:v>
      </x:c>
      <x:c r="D56" s="139">
        <x:v>283</x:v>
      </x:c>
      <x:c r="E56" s="139">
        <x:v>117</x:v>
      </x:c>
      <x:c r="F56" s="139">
        <x:v>400</x:v>
      </x:c>
      <x:c r="G56" s="139">
        <x:v>195</x:v>
      </x:c>
      <x:c r="H56" s="139">
        <x:v>88</x:v>
      </x:c>
      <x:c r="I56" s="139">
        <x:v>105</x:v>
      </x:c>
      <x:c r="J56" s="139">
        <x:v>12</x:v>
      </x:c>
      <x:c r="K56" s="157">
        <x:v>0.68904600000000005</x:v>
      </x:c>
      <x:c r="L56" s="157">
        <x:v>0.102564</x:v>
      </x:c>
      <x:c r="M56" s="157">
        <x:v>0.51749999999999996</x:v>
      </x:c>
    </x:row>
    <x:row r="57" ht="14.25" customHeight="1">
      <x:c r="A57" s="136" t="s">
        <x:v>54</x:v>
      </x:c>
      <x:c r="B57" s="136" t="s">
        <x:v>188</x:v>
      </x:c>
      <x:c r="C57" s="136" t="s">
        <x:v>127</x:v>
      </x:c>
      <x:c r="D57" s="136">
        <x:v>283</x:v>
      </x:c>
      <x:c r="E57" s="136">
        <x:v>117</x:v>
      </x:c>
      <x:c r="F57" s="136">
        <x:v>400</x:v>
      </x:c>
      <x:c r="G57" s="136">
        <x:v>214</x:v>
      </x:c>
      <x:c r="H57" s="136">
        <x:v>69</x:v>
      </x:c>
      <x:c r="I57" s="136">
        <x:v>65</x:v>
      </x:c>
      <x:c r="J57" s="136">
        <x:v>52</x:v>
      </x:c>
      <x:c r="K57" s="156">
        <x:v>0.75618399999999997</x:v>
      </x:c>
      <x:c r="L57" s="156">
        <x:v>0.44444400000000001</x:v>
      </x:c>
      <x:c r="M57" s="156">
        <x:v>0.66500000000000004</x:v>
      </x:c>
    </x:row>
    <x:row r="58" ht="14.25" customHeight="1">
      <x:c r="A58" s="139" t="s">
        <x:v>54</x:v>
      </x:c>
      <x:c r="B58" s="139" t="s">
        <x:v>189</x:v>
      </x:c>
      <x:c r="C58" s="139" t="s">
        <x:v>128</x:v>
      </x:c>
      <x:c r="D58" s="139">
        <x:v>283</x:v>
      </x:c>
      <x:c r="E58" s="139">
        <x:v>117</x:v>
      </x:c>
      <x:c r="F58" s="139">
        <x:v>400</x:v>
      </x:c>
      <x:c r="G58" s="139">
        <x:v>246</x:v>
      </x:c>
      <x:c r="H58" s="139">
        <x:v>37</x:v>
      </x:c>
      <x:c r="I58" s="139">
        <x:v>87</x:v>
      </x:c>
      <x:c r="J58" s="139">
        <x:v>30</x:v>
      </x:c>
      <x:c r="K58" s="157">
        <x:v>0.86925799999999998</x:v>
      </x:c>
      <x:c r="L58" s="157">
        <x:v>0.25641000000000003</x:v>
      </x:c>
      <x:c r="M58" s="157">
        <x:v>0.69</x:v>
      </x:c>
    </x:row>
    <x:row r="59" ht="14.25" customHeight="1">
      <x:c r="A59" s="136" t="s">
        <x:v>54</x:v>
      </x:c>
      <x:c r="B59" s="136" t="s">
        <x:v>190</x:v>
      </x:c>
      <x:c r="C59" s="136" t="s">
        <x:v>129</x:v>
      </x:c>
      <x:c r="D59" s="136">
        <x:v>283</x:v>
      </x:c>
      <x:c r="E59" s="136">
        <x:v>117</x:v>
      </x:c>
      <x:c r="F59" s="136">
        <x:v>400</x:v>
      </x:c>
      <x:c r="G59" s="136">
        <x:v>238</x:v>
      </x:c>
      <x:c r="H59" s="136">
        <x:v>45</x:v>
      </x:c>
      <x:c r="I59" s="136">
        <x:v>113</x:v>
      </x:c>
      <x:c r="J59" s="136">
        <x:v>4</x:v>
      </x:c>
      <x:c r="K59" s="156">
        <x:v>0.84098899999999999</x:v>
      </x:c>
      <x:c r="L59" s="156">
        <x:v>3.4188000000000003E-2</x:v>
      </x:c>
      <x:c r="M59" s="156">
        <x:v>0.60499999999999998</x:v>
      </x:c>
    </x:row>
    <x:row r="60" ht="14.25" customHeight="1">
      <x:c r="A60" s="139" t="s">
        <x:v>54</x:v>
      </x:c>
      <x:c r="B60" s="139" t="s">
        <x:v>191</x:v>
      </x:c>
      <x:c r="C60" s="139" t="s">
        <x:v>130</x:v>
      </x:c>
      <x:c r="D60" s="139">
        <x:v>283</x:v>
      </x:c>
      <x:c r="E60" s="139">
        <x:v>117</x:v>
      </x:c>
      <x:c r="F60" s="139">
        <x:v>400</x:v>
      </x:c>
      <x:c r="G60" s="139">
        <x:v>239</x:v>
      </x:c>
      <x:c r="H60" s="139">
        <x:v>44</x:v>
      </x:c>
      <x:c r="I60" s="139">
        <x:v>79</x:v>
      </x:c>
      <x:c r="J60" s="139">
        <x:v>38</x:v>
      </x:c>
      <x:c r="K60" s="157">
        <x:v>0.84452300000000002</x:v>
      </x:c>
      <x:c r="L60" s="157">
        <x:v>0.32478600000000002</x:v>
      </x:c>
      <x:c r="M60" s="157">
        <x:v>0.6925</x:v>
      </x:c>
    </x:row>
    <x:row r="61" ht="14.25" customHeight="1">
      <x:c r="A61" s="136" t="s">
        <x:v>54</x:v>
      </x:c>
      <x:c r="B61" s="136" t="s">
        <x:v>192</x:v>
      </x:c>
      <x:c r="C61" s="136" t="s">
        <x:v>131</x:v>
      </x:c>
      <x:c r="D61" s="136">
        <x:v>283</x:v>
      </x:c>
      <x:c r="E61" s="136">
        <x:v>117</x:v>
      </x:c>
      <x:c r="F61" s="136">
        <x:v>400</x:v>
      </x:c>
      <x:c r="G61" s="136">
        <x:v>197</x:v>
      </x:c>
      <x:c r="H61" s="136">
        <x:v>86</x:v>
      </x:c>
      <x:c r="I61" s="136">
        <x:v>105</x:v>
      </x:c>
      <x:c r="J61" s="136">
        <x:v>12</x:v>
      </x:c>
      <x:c r="K61" s="156">
        <x:v>0.69611299999999998</x:v>
      </x:c>
      <x:c r="L61" s="156">
        <x:v>0.102564</x:v>
      </x:c>
      <x:c r="M61" s="156">
        <x:v>0.52249999999999996</x:v>
      </x:c>
    </x:row>
    <x:row r="62" ht="14.25" customHeight="1">
      <x:c r="A62" s="139" t="s">
        <x:v>57</x:v>
      </x:c>
      <x:c r="B62" s="139" t="s">
        <x:v>188</x:v>
      </x:c>
      <x:c r="C62" s="139" t="s">
        <x:v>127</x:v>
      </x:c>
      <x:c r="D62" s="139">
        <x:v>283</x:v>
      </x:c>
      <x:c r="E62" s="139">
        <x:v>117</x:v>
      </x:c>
      <x:c r="F62" s="139">
        <x:v>400</x:v>
      </x:c>
      <x:c r="G62" s="139">
        <x:v>213</x:v>
      </x:c>
      <x:c r="H62" s="139">
        <x:v>70</x:v>
      </x:c>
      <x:c r="I62" s="139">
        <x:v>63</x:v>
      </x:c>
      <x:c r="J62" s="139">
        <x:v>54</x:v>
      </x:c>
      <x:c r="K62" s="157">
        <x:v>0.75265000000000004</x:v>
      </x:c>
      <x:c r="L62" s="157">
        <x:v>0.461538</x:v>
      </x:c>
      <x:c r="M62" s="157">
        <x:v>0.66749999999999998</x:v>
      </x:c>
    </x:row>
    <x:row r="63" ht="14.25" customHeight="1">
      <x:c r="A63" s="136" t="s">
        <x:v>57</x:v>
      </x:c>
      <x:c r="B63" s="136" t="s">
        <x:v>189</x:v>
      </x:c>
      <x:c r="C63" s="136" t="s">
        <x:v>128</x:v>
      </x:c>
      <x:c r="D63" s="136">
        <x:v>283</x:v>
      </x:c>
      <x:c r="E63" s="136">
        <x:v>117</x:v>
      </x:c>
      <x:c r="F63" s="136">
        <x:v>400</x:v>
      </x:c>
      <x:c r="G63" s="136">
        <x:v>244</x:v>
      </x:c>
      <x:c r="H63" s="136">
        <x:v>39</x:v>
      </x:c>
      <x:c r="I63" s="136">
        <x:v>88</x:v>
      </x:c>
      <x:c r="J63" s="136">
        <x:v>29</x:v>
      </x:c>
      <x:c r="K63" s="156">
        <x:v>0.86219100000000004</x:v>
      </x:c>
      <x:c r="L63" s="156">
        <x:v>0.247863</x:v>
      </x:c>
      <x:c r="M63" s="156">
        <x:v>0.6825</x:v>
      </x:c>
    </x:row>
    <x:row r="64" ht="14.25" customHeight="1">
      <x:c r="A64" s="139" t="s">
        <x:v>57</x:v>
      </x:c>
      <x:c r="B64" s="139" t="s">
        <x:v>190</x:v>
      </x:c>
      <x:c r="C64" s="139" t="s">
        <x:v>129</x:v>
      </x:c>
      <x:c r="D64" s="139">
        <x:v>283</x:v>
      </x:c>
      <x:c r="E64" s="139">
        <x:v>117</x:v>
      </x:c>
      <x:c r="F64" s="139">
        <x:v>400</x:v>
      </x:c>
      <x:c r="G64" s="139">
        <x:v>239</x:v>
      </x:c>
      <x:c r="H64" s="139">
        <x:v>44</x:v>
      </x:c>
      <x:c r="I64" s="139">
        <x:v>112</x:v>
      </x:c>
      <x:c r="J64" s="139">
        <x:v>5</x:v>
      </x:c>
      <x:c r="K64" s="157">
        <x:v>0.84452300000000002</x:v>
      </x:c>
      <x:c r="L64" s="157">
        <x:v>4.2735000000000002E-2</x:v>
      </x:c>
      <x:c r="M64" s="157">
        <x:v>0.61</x:v>
      </x:c>
    </x:row>
    <x:row r="65" ht="14.25" customHeight="1">
      <x:c r="A65" s="136" t="s">
        <x:v>57</x:v>
      </x:c>
      <x:c r="B65" s="136" t="s">
        <x:v>191</x:v>
      </x:c>
      <x:c r="C65" s="136" t="s">
        <x:v>130</x:v>
      </x:c>
      <x:c r="D65" s="136">
        <x:v>283</x:v>
      </x:c>
      <x:c r="E65" s="136">
        <x:v>117</x:v>
      </x:c>
      <x:c r="F65" s="136">
        <x:v>400</x:v>
      </x:c>
      <x:c r="G65" s="136">
        <x:v>238</x:v>
      </x:c>
      <x:c r="H65" s="136">
        <x:v>45</x:v>
      </x:c>
      <x:c r="I65" s="136">
        <x:v>81</x:v>
      </x:c>
      <x:c r="J65" s="136">
        <x:v>36</x:v>
      </x:c>
      <x:c r="K65" s="156">
        <x:v>0.84098899999999999</x:v>
      </x:c>
      <x:c r="L65" s="156">
        <x:v>0.30769200000000002</x:v>
      </x:c>
      <x:c r="M65" s="156">
        <x:v>0.68500000000000005</x:v>
      </x:c>
    </x:row>
    <x:row r="66" ht="14.25" customHeight="1">
      <x:c r="A66" s="146" t="s">
        <x:v>57</x:v>
      </x:c>
      <x:c r="B66" s="146" t="s">
        <x:v>192</x:v>
      </x:c>
      <x:c r="C66" s="146" t="s">
        <x:v>131</x:v>
      </x:c>
      <x:c r="D66" s="146">
        <x:v>283</x:v>
      </x:c>
      <x:c r="E66" s="146">
        <x:v>117</x:v>
      </x:c>
      <x:c r="F66" s="146">
        <x:v>400</x:v>
      </x:c>
      <x:c r="G66" s="146">
        <x:v>197</x:v>
      </x:c>
      <x:c r="H66" s="146">
        <x:v>86</x:v>
      </x:c>
      <x:c r="I66" s="146">
        <x:v>105</x:v>
      </x:c>
      <x:c r="J66" s="146">
        <x:v>12</x:v>
      </x:c>
      <x:c r="K66" s="161">
        <x:v>0.69611299999999998</x:v>
      </x:c>
      <x:c r="L66" s="161">
        <x:v>0.102564</x:v>
      </x:c>
      <x:c r="M66" s="161">
        <x:v>0.52249999999999996</x:v>
      </x:c>
    </x:row>
    <x:row r="67" ht="14.25" customHeight="1">
      <x:c r="A67" s="149" t="s">
        <x:v>58</x:v>
      </x:c>
      <x:c r="B67" s="149" t="s">
        <x:v>188</x:v>
      </x:c>
      <x:c r="C67" s="149" t="s">
        <x:v>127</x:v>
      </x:c>
      <x:c r="D67" s="149">
        <x:v>283</x:v>
      </x:c>
      <x:c r="E67" s="149">
        <x:v>117</x:v>
      </x:c>
      <x:c r="F67" s="149">
        <x:v>400</x:v>
      </x:c>
      <x:c r="G67" s="149">
        <x:v>208</x:v>
      </x:c>
      <x:c r="H67" s="149">
        <x:v>75</x:v>
      </x:c>
      <x:c r="I67" s="149">
        <x:v>58</x:v>
      </x:c>
      <x:c r="J67" s="149">
        <x:v>59</x:v>
      </x:c>
      <x:c r="K67" s="160">
        <x:v>0.73498200000000002</x:v>
      </x:c>
      <x:c r="L67" s="160">
        <x:v>0.504274</x:v>
      </x:c>
      <x:c r="M67" s="160">
        <x:v>0.66749999999999998</x:v>
      </x:c>
    </x:row>
    <x:row r="68" ht="14.25" customHeight="1">
      <x:c r="A68" s="150" t="s">
        <x:v>58</x:v>
      </x:c>
      <x:c r="B68" s="150" t="s">
        <x:v>189</x:v>
      </x:c>
      <x:c r="C68" s="150" t="s">
        <x:v>128</x:v>
      </x:c>
      <x:c r="D68" s="150">
        <x:v>283</x:v>
      </x:c>
      <x:c r="E68" s="150">
        <x:v>117</x:v>
      </x:c>
      <x:c r="F68" s="150">
        <x:v>400</x:v>
      </x:c>
      <x:c r="G68" s="150">
        <x:v>245</x:v>
      </x:c>
      <x:c r="H68" s="150">
        <x:v>38</x:v>
      </x:c>
      <x:c r="I68" s="150">
        <x:v>91</x:v>
      </x:c>
      <x:c r="J68" s="150">
        <x:v>26</x:v>
      </x:c>
      <x:c r="K68" s="159">
        <x:v>0.86572400000000005</x:v>
      </x:c>
      <x:c r="L68" s="159">
        <x:v>0.222222</x:v>
      </x:c>
      <x:c r="M68" s="159">
        <x:v>0.67749999999999999</x:v>
      </x:c>
    </x:row>
    <x:row r="69" ht="14.25" customHeight="1">
      <x:c r="A69" s="149" t="s">
        <x:v>58</x:v>
      </x:c>
      <x:c r="B69" s="149" t="s">
        <x:v>190</x:v>
      </x:c>
      <x:c r="C69" s="149" t="s">
        <x:v>129</x:v>
      </x:c>
      <x:c r="D69" s="149">
        <x:v>283</x:v>
      </x:c>
      <x:c r="E69" s="149">
        <x:v>117</x:v>
      </x:c>
      <x:c r="F69" s="149">
        <x:v>400</x:v>
      </x:c>
      <x:c r="G69" s="149">
        <x:v>244</x:v>
      </x:c>
      <x:c r="H69" s="149">
        <x:v>39</x:v>
      </x:c>
      <x:c r="I69" s="149">
        <x:v>113</x:v>
      </x:c>
      <x:c r="J69" s="149">
        <x:v>4</x:v>
      </x:c>
      <x:c r="K69" s="160">
        <x:v>0.86219100000000004</x:v>
      </x:c>
      <x:c r="L69" s="160">
        <x:v>3.4188000000000003E-2</x:v>
      </x:c>
      <x:c r="M69" s="160">
        <x:v>0.62</x:v>
      </x:c>
    </x:row>
    <x:row r="70" ht="14.25" customHeight="1">
      <x:c r="A70" s="150" t="s">
        <x:v>58</x:v>
      </x:c>
      <x:c r="B70" s="150" t="s">
        <x:v>191</x:v>
      </x:c>
      <x:c r="C70" s="150" t="s">
        <x:v>130</x:v>
      </x:c>
      <x:c r="D70" s="150">
        <x:v>283</x:v>
      </x:c>
      <x:c r="E70" s="150">
        <x:v>117</x:v>
      </x:c>
      <x:c r="F70" s="150">
        <x:v>400</x:v>
      </x:c>
      <x:c r="G70" s="150">
        <x:v>236</x:v>
      </x:c>
      <x:c r="H70" s="150">
        <x:v>47</x:v>
      </x:c>
      <x:c r="I70" s="150">
        <x:v>81</x:v>
      </x:c>
      <x:c r="J70" s="150">
        <x:v>36</x:v>
      </x:c>
      <x:c r="K70" s="159">
        <x:v>0.83392200000000005</x:v>
      </x:c>
      <x:c r="L70" s="159">
        <x:v>0.30769200000000002</x:v>
      </x:c>
      <x:c r="M70" s="159">
        <x:v>0.68</x:v>
      </x:c>
    </x:row>
    <x:row r="71" ht="14.25" customHeight="1">
      <x:c r="A71" s="149" t="s">
        <x:v>58</x:v>
      </x:c>
      <x:c r="B71" s="149" t="s">
        <x:v>192</x:v>
      </x:c>
      <x:c r="C71" s="149" t="s">
        <x:v>131</x:v>
      </x:c>
      <x:c r="D71" s="149">
        <x:v>283</x:v>
      </x:c>
      <x:c r="E71" s="149">
        <x:v>117</x:v>
      </x:c>
      <x:c r="F71" s="149">
        <x:v>400</x:v>
      </x:c>
      <x:c r="G71" s="149">
        <x:v>194</x:v>
      </x:c>
      <x:c r="H71" s="149">
        <x:v>89</x:v>
      </x:c>
      <x:c r="I71" s="149">
        <x:v>104</x:v>
      </x:c>
      <x:c r="J71" s="149">
        <x:v>13</x:v>
      </x:c>
      <x:c r="K71" s="160">
        <x:v>0.68551200000000001</x:v>
      </x:c>
      <x:c r="L71" s="160">
        <x:v>0.111111</x:v>
      </x:c>
      <x:c r="M71" s="160">
        <x:v>0.51749999999999996</x:v>
      </x:c>
    </x:row>
    <x:row r="72" ht="14.25" customHeight="1">
      <x:c r="A72" s="150" t="s">
        <x:v>60</x:v>
      </x:c>
      <x:c r="B72" s="150" t="s">
        <x:v>188</x:v>
      </x:c>
      <x:c r="C72" s="150" t="s">
        <x:v>127</x:v>
      </x:c>
      <x:c r="D72" s="150">
        <x:v>283</x:v>
      </x:c>
      <x:c r="E72" s="150">
        <x:v>117</x:v>
      </x:c>
      <x:c r="F72" s="150">
        <x:v>400</x:v>
      </x:c>
      <x:c r="G72" s="150">
        <x:v>233</x:v>
      </x:c>
      <x:c r="H72" s="150">
        <x:v>50</x:v>
      </x:c>
      <x:c r="I72" s="150">
        <x:v>56</x:v>
      </x:c>
      <x:c r="J72" s="150">
        <x:v>61</x:v>
      </x:c>
      <x:c r="K72" s="159">
        <x:v>0.823322</x:v>
      </x:c>
      <x:c r="L72" s="159">
        <x:v>0.52136800000000005</x:v>
      </x:c>
      <x:c r="M72" s="159">
        <x:v>0.73499999999999999</x:v>
      </x:c>
    </x:row>
    <x:row r="73" ht="14.25" customHeight="1">
      <x:c r="A73" s="149" t="s">
        <x:v>60</x:v>
      </x:c>
      <x:c r="B73" s="149" t="s">
        <x:v>189</x:v>
      </x:c>
      <x:c r="C73" s="149" t="s">
        <x:v>128</x:v>
      </x:c>
      <x:c r="D73" s="149">
        <x:v>283</x:v>
      </x:c>
      <x:c r="E73" s="149">
        <x:v>117</x:v>
      </x:c>
      <x:c r="F73" s="149">
        <x:v>400</x:v>
      </x:c>
      <x:c r="G73" s="149">
        <x:v>242</x:v>
      </x:c>
      <x:c r="H73" s="149">
        <x:v>41</x:v>
      </x:c>
      <x:c r="I73" s="149">
        <x:v>86</x:v>
      </x:c>
      <x:c r="J73" s="149">
        <x:v>31</x:v>
      </x:c>
      <x:c r="K73" s="160">
        <x:v>0.855124</x:v>
      </x:c>
      <x:c r="L73" s="160">
        <x:v>0.264957</x:v>
      </x:c>
      <x:c r="M73" s="160">
        <x:v>0.6825</x:v>
      </x:c>
    </x:row>
    <x:row r="74" ht="14.25" customHeight="1">
      <x:c r="A74" s="150" t="s">
        <x:v>60</x:v>
      </x:c>
      <x:c r="B74" s="150" t="s">
        <x:v>190</x:v>
      </x:c>
      <x:c r="C74" s="150" t="s">
        <x:v>129</x:v>
      </x:c>
      <x:c r="D74" s="150">
        <x:v>283</x:v>
      </x:c>
      <x:c r="E74" s="150">
        <x:v>117</x:v>
      </x:c>
      <x:c r="F74" s="150">
        <x:v>400</x:v>
      </x:c>
      <x:c r="G74" s="150">
        <x:v>239</x:v>
      </x:c>
      <x:c r="H74" s="150">
        <x:v>44</x:v>
      </x:c>
      <x:c r="I74" s="150">
        <x:v>113</x:v>
      </x:c>
      <x:c r="J74" s="150">
        <x:v>4</x:v>
      </x:c>
      <x:c r="K74" s="159">
        <x:v>0.84452300000000002</x:v>
      </x:c>
      <x:c r="L74" s="159">
        <x:v>3.4188000000000003E-2</x:v>
      </x:c>
      <x:c r="M74" s="159">
        <x:v>0.60750000000000004</x:v>
      </x:c>
    </x:row>
    <x:row r="75" ht="14.25" customHeight="1">
      <x:c r="A75" s="149" t="s">
        <x:v>60</x:v>
      </x:c>
      <x:c r="B75" s="149" t="s">
        <x:v>191</x:v>
      </x:c>
      <x:c r="C75" s="149" t="s">
        <x:v>130</x:v>
      </x:c>
      <x:c r="D75" s="149">
        <x:v>283</x:v>
      </x:c>
      <x:c r="E75" s="149">
        <x:v>117</x:v>
      </x:c>
      <x:c r="F75" s="149">
        <x:v>400</x:v>
      </x:c>
      <x:c r="G75" s="149">
        <x:v>236</x:v>
      </x:c>
      <x:c r="H75" s="149">
        <x:v>47</x:v>
      </x:c>
      <x:c r="I75" s="149">
        <x:v>93</x:v>
      </x:c>
      <x:c r="J75" s="149">
        <x:v>24</x:v>
      </x:c>
      <x:c r="K75" s="160">
        <x:v>0.83392200000000005</x:v>
      </x:c>
      <x:c r="L75" s="160">
        <x:v>0.205128</x:v>
      </x:c>
      <x:c r="M75" s="160">
        <x:v>0.65</x:v>
      </x:c>
    </x:row>
    <x:row r="76" ht="14.25" customHeight="1">
      <x:c r="A76" s="150" t="s">
        <x:v>60</x:v>
      </x:c>
      <x:c r="B76" s="150" t="s">
        <x:v>192</x:v>
      </x:c>
      <x:c r="C76" s="150" t="s">
        <x:v>131</x:v>
      </x:c>
      <x:c r="D76" s="150">
        <x:v>283</x:v>
      </x:c>
      <x:c r="E76" s="150">
        <x:v>117</x:v>
      </x:c>
      <x:c r="F76" s="150">
        <x:v>400</x:v>
      </x:c>
      <x:c r="G76" s="150">
        <x:v>195</x:v>
      </x:c>
      <x:c r="H76" s="150">
        <x:v>88</x:v>
      </x:c>
      <x:c r="I76" s="150">
        <x:v>105</x:v>
      </x:c>
      <x:c r="J76" s="150">
        <x:v>12</x:v>
      </x:c>
      <x:c r="K76" s="159">
        <x:v>0.68904600000000005</x:v>
      </x:c>
      <x:c r="L76" s="159">
        <x:v>0.102564</x:v>
      </x:c>
      <x:c r="M76" s="159">
        <x:v>0.51749999999999996</x:v>
      </x:c>
    </x:row>
    <x:row r="77" ht="14.25" customHeight="1">
      <x:c r="A77" s="149" t="s">
        <x:v>65</x:v>
      </x:c>
      <x:c r="B77" s="149" t="s">
        <x:v>188</x:v>
      </x:c>
      <x:c r="C77" s="149" t="s">
        <x:v>127</x:v>
      </x:c>
      <x:c r="D77" s="149">
        <x:v>283</x:v>
      </x:c>
      <x:c r="E77" s="149">
        <x:v>117</x:v>
      </x:c>
      <x:c r="F77" s="149">
        <x:v>400</x:v>
      </x:c>
      <x:c r="G77" s="149">
        <x:v>231</x:v>
      </x:c>
      <x:c r="H77" s="149">
        <x:v>52</x:v>
      </x:c>
      <x:c r="I77" s="149">
        <x:v>72</x:v>
      </x:c>
      <x:c r="J77" s="149">
        <x:v>45</x:v>
      </x:c>
      <x:c r="K77" s="160">
        <x:v>0.81625400000000004</x:v>
      </x:c>
      <x:c r="L77" s="160">
        <x:v>0.38461499999999998</x:v>
      </x:c>
      <x:c r="M77" s="160">
        <x:v>0.69</x:v>
      </x:c>
    </x:row>
    <x:row r="78" ht="14.25" customHeight="1">
      <x:c r="A78" s="150" t="s">
        <x:v>65</x:v>
      </x:c>
      <x:c r="B78" s="150" t="s">
        <x:v>189</x:v>
      </x:c>
      <x:c r="C78" s="150" t="s">
        <x:v>128</x:v>
      </x:c>
      <x:c r="D78" s="150">
        <x:v>283</x:v>
      </x:c>
      <x:c r="E78" s="150">
        <x:v>117</x:v>
      </x:c>
      <x:c r="F78" s="150">
        <x:v>400</x:v>
      </x:c>
      <x:c r="G78" s="150">
        <x:v>242</x:v>
      </x:c>
      <x:c r="H78" s="150">
        <x:v>41</x:v>
      </x:c>
      <x:c r="I78" s="150">
        <x:v>85</x:v>
      </x:c>
      <x:c r="J78" s="150">
        <x:v>32</x:v>
      </x:c>
      <x:c r="K78" s="159">
        <x:v>0.855124</x:v>
      </x:c>
      <x:c r="L78" s="159">
        <x:v>0.27350400000000002</x:v>
      </x:c>
      <x:c r="M78" s="159">
        <x:v>0.68500000000000005</x:v>
      </x:c>
    </x:row>
    <x:row r="79" ht="14.25" customHeight="1">
      <x:c r="A79" s="149" t="s">
        <x:v>65</x:v>
      </x:c>
      <x:c r="B79" s="149" t="s">
        <x:v>190</x:v>
      </x:c>
      <x:c r="C79" s="149" t="s">
        <x:v>129</x:v>
      </x:c>
      <x:c r="D79" s="149">
        <x:v>283</x:v>
      </x:c>
      <x:c r="E79" s="149">
        <x:v>117</x:v>
      </x:c>
      <x:c r="F79" s="149">
        <x:v>400</x:v>
      </x:c>
      <x:c r="G79" s="149">
        <x:v>236</x:v>
      </x:c>
      <x:c r="H79" s="149">
        <x:v>47</x:v>
      </x:c>
      <x:c r="I79" s="149">
        <x:v>111</x:v>
      </x:c>
      <x:c r="J79" s="149">
        <x:v>6</x:v>
      </x:c>
      <x:c r="K79" s="160">
        <x:v>0.83392200000000005</x:v>
      </x:c>
      <x:c r="L79" s="160">
        <x:v>5.1282000000000001E-2</x:v>
      </x:c>
      <x:c r="M79" s="160">
        <x:v>0.60499999999999998</x:v>
      </x:c>
    </x:row>
    <x:row r="80" ht="14.25" customHeight="1">
      <x:c r="A80" s="150" t="s">
        <x:v>65</x:v>
      </x:c>
      <x:c r="B80" s="150" t="s">
        <x:v>191</x:v>
      </x:c>
      <x:c r="C80" s="150" t="s">
        <x:v>130</x:v>
      </x:c>
      <x:c r="D80" s="150">
        <x:v>283</x:v>
      </x:c>
      <x:c r="E80" s="150">
        <x:v>117</x:v>
      </x:c>
      <x:c r="F80" s="150">
        <x:v>400</x:v>
      </x:c>
      <x:c r="G80" s="150">
        <x:v>234</x:v>
      </x:c>
      <x:c r="H80" s="150">
        <x:v>49</x:v>
      </x:c>
      <x:c r="I80" s="150">
        <x:v>74</x:v>
      </x:c>
      <x:c r="J80" s="150">
        <x:v>43</x:v>
      </x:c>
      <x:c r="K80" s="159">
        <x:v>0.82685500000000001</x:v>
      </x:c>
      <x:c r="L80" s="159">
        <x:v>0.36752099999999999</x:v>
      </x:c>
      <x:c r="M80" s="159">
        <x:v>0.6925</x:v>
      </x:c>
    </x:row>
    <x:row r="81" ht="14.25" customHeight="1">
      <x:c r="A81" s="149" t="s">
        <x:v>65</x:v>
      </x:c>
      <x:c r="B81" s="149" t="s">
        <x:v>192</x:v>
      </x:c>
      <x:c r="C81" s="149" t="s">
        <x:v>131</x:v>
      </x:c>
      <x:c r="D81" s="149">
        <x:v>283</x:v>
      </x:c>
      <x:c r="E81" s="149">
        <x:v>117</x:v>
      </x:c>
      <x:c r="F81" s="149">
        <x:v>400</x:v>
      </x:c>
      <x:c r="G81" s="149">
        <x:v>196</x:v>
      </x:c>
      <x:c r="H81" s="149">
        <x:v>87</x:v>
      </x:c>
      <x:c r="I81" s="149">
        <x:v>102</x:v>
      </x:c>
      <x:c r="J81" s="149">
        <x:v>15</x:v>
      </x:c>
      <x:c r="K81" s="160">
        <x:v>0.69257999999999997</x:v>
      </x:c>
      <x:c r="L81" s="160">
        <x:v>0.12820500000000001</x:v>
      </x:c>
      <x:c r="M81" s="160">
        <x:v>0.52749999999999997</x:v>
      </x:c>
    </x:row>
    <x:row r="82" ht="14.25" customHeight="1">
      <x:c r="A82" s="150" t="s">
        <x:v>67</x:v>
      </x:c>
      <x:c r="B82" s="150" t="s">
        <x:v>188</x:v>
      </x:c>
      <x:c r="C82" s="150" t="s">
        <x:v>127</x:v>
      </x:c>
      <x:c r="D82" s="150">
        <x:v>283</x:v>
      </x:c>
      <x:c r="E82" s="150">
        <x:v>117</x:v>
      </x:c>
      <x:c r="F82" s="150">
        <x:v>400</x:v>
      </x:c>
      <x:c r="G82" s="150">
        <x:v>235</x:v>
      </x:c>
      <x:c r="H82" s="150">
        <x:v>48</x:v>
      </x:c>
      <x:c r="I82" s="150">
        <x:v>65</x:v>
      </x:c>
      <x:c r="J82" s="150">
        <x:v>52</x:v>
      </x:c>
      <x:c r="K82" s="159">
        <x:v>0.83038900000000004</x:v>
      </x:c>
      <x:c r="L82" s="159">
        <x:v>0.44444400000000001</x:v>
      </x:c>
      <x:c r="M82" s="159">
        <x:v>0.71750000000000003</x:v>
      </x:c>
    </x:row>
    <x:row r="83" ht="14.25" customHeight="1">
      <x:c r="A83" s="149" t="s">
        <x:v>67</x:v>
      </x:c>
      <x:c r="B83" s="149" t="s">
        <x:v>189</x:v>
      </x:c>
      <x:c r="C83" s="149" t="s">
        <x:v>128</x:v>
      </x:c>
      <x:c r="D83" s="149">
        <x:v>283</x:v>
      </x:c>
      <x:c r="E83" s="149">
        <x:v>117</x:v>
      </x:c>
      <x:c r="F83" s="149">
        <x:v>400</x:v>
      </x:c>
      <x:c r="G83" s="149">
        <x:v>239</x:v>
      </x:c>
      <x:c r="H83" s="149">
        <x:v>44</x:v>
      </x:c>
      <x:c r="I83" s="149">
        <x:v>84</x:v>
      </x:c>
      <x:c r="J83" s="149">
        <x:v>33</x:v>
      </x:c>
      <x:c r="K83" s="160">
        <x:v>0.84452300000000002</x:v>
      </x:c>
      <x:c r="L83" s="160">
        <x:v>0.282051</x:v>
      </x:c>
      <x:c r="M83" s="160">
        <x:v>0.68</x:v>
      </x:c>
    </x:row>
    <x:row r="84" ht="14.25" customHeight="1">
      <x:c r="A84" s="150" t="s">
        <x:v>67</x:v>
      </x:c>
      <x:c r="B84" s="150" t="s">
        <x:v>190</x:v>
      </x:c>
      <x:c r="C84" s="150" t="s">
        <x:v>129</x:v>
      </x:c>
      <x:c r="D84" s="150">
        <x:v>283</x:v>
      </x:c>
      <x:c r="E84" s="150">
        <x:v>117</x:v>
      </x:c>
      <x:c r="F84" s="150">
        <x:v>400</x:v>
      </x:c>
      <x:c r="G84" s="150">
        <x:v>234</x:v>
      </x:c>
      <x:c r="H84" s="150">
        <x:v>49</x:v>
      </x:c>
      <x:c r="I84" s="150">
        <x:v>112</x:v>
      </x:c>
      <x:c r="J84" s="150">
        <x:v>5</x:v>
      </x:c>
      <x:c r="K84" s="159">
        <x:v>0.82685500000000001</x:v>
      </x:c>
      <x:c r="L84" s="159">
        <x:v>4.2735000000000002E-2</x:v>
      </x:c>
      <x:c r="M84" s="159">
        <x:v>0.59750000000000003</x:v>
      </x:c>
    </x:row>
    <x:row r="85" ht="14.25" customHeight="1">
      <x:c r="A85" s="149" t="s">
        <x:v>67</x:v>
      </x:c>
      <x:c r="B85" s="149" t="s">
        <x:v>191</x:v>
      </x:c>
      <x:c r="C85" s="149" t="s">
        <x:v>130</x:v>
      </x:c>
      <x:c r="D85" s="149">
        <x:v>283</x:v>
      </x:c>
      <x:c r="E85" s="149">
        <x:v>117</x:v>
      </x:c>
      <x:c r="F85" s="149">
        <x:v>400</x:v>
      </x:c>
      <x:c r="G85" s="149">
        <x:v>234</x:v>
      </x:c>
      <x:c r="H85" s="149">
        <x:v>49</x:v>
      </x:c>
      <x:c r="I85" s="149">
        <x:v>79</x:v>
      </x:c>
      <x:c r="J85" s="149">
        <x:v>38</x:v>
      </x:c>
      <x:c r="K85" s="160">
        <x:v>0.82685500000000001</x:v>
      </x:c>
      <x:c r="L85" s="160">
        <x:v>0.32478600000000002</x:v>
      </x:c>
      <x:c r="M85" s="160">
        <x:v>0.68</x:v>
      </x:c>
    </x:row>
    <x:row r="86" ht="14.25" customHeight="1">
      <x:c r="A86" s="150" t="s">
        <x:v>67</x:v>
      </x:c>
      <x:c r="B86" s="150" t="s">
        <x:v>192</x:v>
      </x:c>
      <x:c r="C86" s="150" t="s">
        <x:v>131</x:v>
      </x:c>
      <x:c r="D86" s="150">
        <x:v>283</x:v>
      </x:c>
      <x:c r="E86" s="150">
        <x:v>117</x:v>
      </x:c>
      <x:c r="F86" s="150">
        <x:v>400</x:v>
      </x:c>
      <x:c r="G86" s="150">
        <x:v>193</x:v>
      </x:c>
      <x:c r="H86" s="150">
        <x:v>90</x:v>
      </x:c>
      <x:c r="I86" s="150">
        <x:v>102</x:v>
      </x:c>
      <x:c r="J86" s="150">
        <x:v>15</x:v>
      </x:c>
      <x:c r="K86" s="159">
        <x:v>0.681979</x:v>
      </x:c>
      <x:c r="L86" s="159">
        <x:v>0.12820500000000001</x:v>
      </x:c>
      <x:c r="M86" s="159">
        <x:v>0.52</x:v>
      </x:c>
    </x:row>
    <x:row r="87" ht="14.25" customHeight="1">
      <x:c r="A87" s="149" t="s">
        <x:v>69</x:v>
      </x:c>
      <x:c r="B87" s="149" t="s">
        <x:v>188</x:v>
      </x:c>
      <x:c r="C87" s="149" t="s">
        <x:v>127</x:v>
      </x:c>
      <x:c r="D87" s="149">
        <x:v>283</x:v>
      </x:c>
      <x:c r="E87" s="149">
        <x:v>117</x:v>
      </x:c>
      <x:c r="F87" s="149">
        <x:v>400</x:v>
      </x:c>
      <x:c r="G87" s="149">
        <x:v>237</x:v>
      </x:c>
      <x:c r="H87" s="149">
        <x:v>46</x:v>
      </x:c>
      <x:c r="I87" s="149">
        <x:v>66</x:v>
      </x:c>
      <x:c r="J87" s="149">
        <x:v>51</x:v>
      </x:c>
      <x:c r="K87" s="160">
        <x:v>0.83745599999999998</x:v>
      </x:c>
      <x:c r="L87" s="160">
        <x:v>0.43589699999999998</x:v>
      </x:c>
      <x:c r="M87" s="160">
        <x:v>0.72</x:v>
      </x:c>
    </x:row>
    <x:row r="88" ht="14.25" customHeight="1">
      <x:c r="A88" s="150" t="s">
        <x:v>69</x:v>
      </x:c>
      <x:c r="B88" s="150" t="s">
        <x:v>189</x:v>
      </x:c>
      <x:c r="C88" s="150" t="s">
        <x:v>128</x:v>
      </x:c>
      <x:c r="D88" s="150">
        <x:v>283</x:v>
      </x:c>
      <x:c r="E88" s="150">
        <x:v>117</x:v>
      </x:c>
      <x:c r="F88" s="150">
        <x:v>400</x:v>
      </x:c>
      <x:c r="G88" s="150">
        <x:v>242</x:v>
      </x:c>
      <x:c r="H88" s="150">
        <x:v>41</x:v>
      </x:c>
      <x:c r="I88" s="150">
        <x:v>84</x:v>
      </x:c>
      <x:c r="J88" s="150">
        <x:v>33</x:v>
      </x:c>
      <x:c r="K88" s="159">
        <x:v>0.855124</x:v>
      </x:c>
      <x:c r="L88" s="159">
        <x:v>0.282051</x:v>
      </x:c>
      <x:c r="M88" s="159">
        <x:v>0.6875</x:v>
      </x:c>
    </x:row>
    <x:row r="89" ht="14.25" customHeight="1">
      <x:c r="A89" s="149" t="s">
        <x:v>69</x:v>
      </x:c>
      <x:c r="B89" s="149" t="s">
        <x:v>190</x:v>
      </x:c>
      <x:c r="C89" s="149" t="s">
        <x:v>129</x:v>
      </x:c>
      <x:c r="D89" s="149">
        <x:v>283</x:v>
      </x:c>
      <x:c r="E89" s="149">
        <x:v>117</x:v>
      </x:c>
      <x:c r="F89" s="149">
        <x:v>400</x:v>
      </x:c>
      <x:c r="G89" s="149">
        <x:v>238</x:v>
      </x:c>
      <x:c r="H89" s="149">
        <x:v>45</x:v>
      </x:c>
      <x:c r="I89" s="149">
        <x:v>111</x:v>
      </x:c>
      <x:c r="J89" s="149">
        <x:v>6</x:v>
      </x:c>
      <x:c r="K89" s="160">
        <x:v>0.84098899999999999</x:v>
      </x:c>
      <x:c r="L89" s="160">
        <x:v>5.1282000000000001E-2</x:v>
      </x:c>
      <x:c r="M89" s="160">
        <x:v>0.61</x:v>
      </x:c>
    </x:row>
    <x:row r="90" ht="14.25" customHeight="1">
      <x:c r="A90" s="150" t="s">
        <x:v>69</x:v>
      </x:c>
      <x:c r="B90" s="150" t="s">
        <x:v>191</x:v>
      </x:c>
      <x:c r="C90" s="150" t="s">
        <x:v>130</x:v>
      </x:c>
      <x:c r="D90" s="150">
        <x:v>283</x:v>
      </x:c>
      <x:c r="E90" s="150">
        <x:v>117</x:v>
      </x:c>
      <x:c r="F90" s="150">
        <x:v>400</x:v>
      </x:c>
      <x:c r="G90" s="150">
        <x:v>235</x:v>
      </x:c>
      <x:c r="H90" s="150">
        <x:v>48</x:v>
      </x:c>
      <x:c r="I90" s="150">
        <x:v>81</x:v>
      </x:c>
      <x:c r="J90" s="150">
        <x:v>36</x:v>
      </x:c>
      <x:c r="K90" s="159">
        <x:v>0.83038900000000004</x:v>
      </x:c>
      <x:c r="L90" s="159">
        <x:v>0.30769200000000002</x:v>
      </x:c>
      <x:c r="M90" s="159">
        <x:v>0.67749999999999999</x:v>
      </x:c>
    </x:row>
    <x:row r="91" ht="14.25" customHeight="1">
      <x:c r="A91" s="149" t="s">
        <x:v>69</x:v>
      </x:c>
      <x:c r="B91" s="149" t="s">
        <x:v>192</x:v>
      </x:c>
      <x:c r="C91" s="149" t="s">
        <x:v>131</x:v>
      </x:c>
      <x:c r="D91" s="149">
        <x:v>283</x:v>
      </x:c>
      <x:c r="E91" s="149">
        <x:v>117</x:v>
      </x:c>
      <x:c r="F91" s="149">
        <x:v>400</x:v>
      </x:c>
      <x:c r="G91" s="149">
        <x:v>196</x:v>
      </x:c>
      <x:c r="H91" s="149">
        <x:v>87</x:v>
      </x:c>
      <x:c r="I91" s="149">
        <x:v>102</x:v>
      </x:c>
      <x:c r="J91" s="149">
        <x:v>15</x:v>
      </x:c>
      <x:c r="K91" s="160">
        <x:v>0.69257999999999997</x:v>
      </x:c>
      <x:c r="L91" s="160">
        <x:v>0.12820500000000001</x:v>
      </x:c>
      <x:c r="M91" s="160">
        <x:v>0.52749999999999997</x:v>
      </x:c>
    </x:row>
    <x:row r="92" ht="14.25" customHeight="1">
      <x:c r="A92" s="150" t="s">
        <x:v>71</x:v>
      </x:c>
      <x:c r="B92" s="150" t="s">
        <x:v>188</x:v>
      </x:c>
      <x:c r="C92" s="150" t="s">
        <x:v>127</x:v>
      </x:c>
      <x:c r="D92" s="150">
        <x:v>283</x:v>
      </x:c>
      <x:c r="E92" s="150">
        <x:v>117</x:v>
      </x:c>
      <x:c r="F92" s="150">
        <x:v>400</x:v>
      </x:c>
      <x:c r="G92" s="150">
        <x:v>244</x:v>
      </x:c>
      <x:c r="H92" s="150">
        <x:v>39</x:v>
      </x:c>
      <x:c r="I92" s="150">
        <x:v>62</x:v>
      </x:c>
      <x:c r="J92" s="150">
        <x:v>55</x:v>
      </x:c>
      <x:c r="K92" s="159">
        <x:v>0.86219100000000004</x:v>
      </x:c>
      <x:c r="L92" s="159">
        <x:v>0.47008499999999998</x:v>
      </x:c>
      <x:c r="M92" s="159">
        <x:v>0.74750000000000005</x:v>
      </x:c>
    </x:row>
    <x:row r="93" ht="14.25" customHeight="1">
      <x:c r="A93" s="149" t="s">
        <x:v>71</x:v>
      </x:c>
      <x:c r="B93" s="149" t="s">
        <x:v>189</x:v>
      </x:c>
      <x:c r="C93" s="149" t="s">
        <x:v>128</x:v>
      </x:c>
      <x:c r="D93" s="149">
        <x:v>283</x:v>
      </x:c>
      <x:c r="E93" s="149">
        <x:v>117</x:v>
      </x:c>
      <x:c r="F93" s="149">
        <x:v>400</x:v>
      </x:c>
      <x:c r="G93" s="149">
        <x:v>237</x:v>
      </x:c>
      <x:c r="H93" s="149">
        <x:v>46</x:v>
      </x:c>
      <x:c r="I93" s="149">
        <x:v>83</x:v>
      </x:c>
      <x:c r="J93" s="149">
        <x:v>34</x:v>
      </x:c>
      <x:c r="K93" s="160">
        <x:v>0.83745599999999998</x:v>
      </x:c>
      <x:c r="L93" s="160">
        <x:v>0.29059800000000002</x:v>
      </x:c>
      <x:c r="M93" s="160">
        <x:v>0.67749999999999999</x:v>
      </x:c>
    </x:row>
    <x:row r="94" ht="14.25" customHeight="1">
      <x:c r="A94" s="150" t="s">
        <x:v>71</x:v>
      </x:c>
      <x:c r="B94" s="150" t="s">
        <x:v>190</x:v>
      </x:c>
      <x:c r="C94" s="150" t="s">
        <x:v>129</x:v>
      </x:c>
      <x:c r="D94" s="150">
        <x:v>283</x:v>
      </x:c>
      <x:c r="E94" s="150">
        <x:v>117</x:v>
      </x:c>
      <x:c r="F94" s="150">
        <x:v>400</x:v>
      </x:c>
      <x:c r="G94" s="150">
        <x:v>235</x:v>
      </x:c>
      <x:c r="H94" s="150">
        <x:v>48</x:v>
      </x:c>
      <x:c r="I94" s="150">
        <x:v>112</x:v>
      </x:c>
      <x:c r="J94" s="150">
        <x:v>5</x:v>
      </x:c>
      <x:c r="K94" s="159">
        <x:v>0.83038900000000004</x:v>
      </x:c>
      <x:c r="L94" s="159">
        <x:v>4.2735000000000002E-2</x:v>
      </x:c>
      <x:c r="M94" s="159">
        <x:v>0.6</x:v>
      </x:c>
    </x:row>
    <x:row r="95" ht="14.25" customHeight="1">
      <x:c r="A95" s="149" t="s">
        <x:v>71</x:v>
      </x:c>
      <x:c r="B95" s="149" t="s">
        <x:v>191</x:v>
      </x:c>
      <x:c r="C95" s="149" t="s">
        <x:v>130</x:v>
      </x:c>
      <x:c r="D95" s="149">
        <x:v>283</x:v>
      </x:c>
      <x:c r="E95" s="149">
        <x:v>117</x:v>
      </x:c>
      <x:c r="F95" s="149">
        <x:v>400</x:v>
      </x:c>
      <x:c r="G95" s="149">
        <x:v>234</x:v>
      </x:c>
      <x:c r="H95" s="149">
        <x:v>49</x:v>
      </x:c>
      <x:c r="I95" s="149">
        <x:v>84</x:v>
      </x:c>
      <x:c r="J95" s="149">
        <x:v>33</x:v>
      </x:c>
      <x:c r="K95" s="160">
        <x:v>0.82685500000000001</x:v>
      </x:c>
      <x:c r="L95" s="160">
        <x:v>0.282051</x:v>
      </x:c>
      <x:c r="M95" s="160">
        <x:v>0.66749999999999998</x:v>
      </x:c>
    </x:row>
    <x:row r="96" ht="14.25" customHeight="1">
      <x:c r="A96" s="150" t="s">
        <x:v>71</x:v>
      </x:c>
      <x:c r="B96" s="150" t="s">
        <x:v>192</x:v>
      </x:c>
      <x:c r="C96" s="150" t="s">
        <x:v>131</x:v>
      </x:c>
      <x:c r="D96" s="150">
        <x:v>283</x:v>
      </x:c>
      <x:c r="E96" s="150">
        <x:v>117</x:v>
      </x:c>
      <x:c r="F96" s="150">
        <x:v>400</x:v>
      </x:c>
      <x:c r="G96" s="150">
        <x:v>193</x:v>
      </x:c>
      <x:c r="H96" s="150">
        <x:v>90</x:v>
      </x:c>
      <x:c r="I96" s="150">
        <x:v>103</x:v>
      </x:c>
      <x:c r="J96" s="150">
        <x:v>14</x:v>
      </x:c>
      <x:c r="K96" s="159">
        <x:v>0.681979</x:v>
      </x:c>
      <x:c r="L96" s="159">
        <x:v>0.119658</x:v>
      </x:c>
      <x:c r="M96" s="159">
        <x:v>0.51749999999999996</x:v>
      </x:c>
    </x:row>
  </x:sheetData>
  <x:pageMargins left="0.7" right="0.7" top="0.75" bottom="0.75" header="0.3" footer="0.3"/>
  <x:tableParts count="1">
    <x:tablePart xmlns:r="http://schemas.openxmlformats.org/officeDocument/2006/relationships" r:id="Re6867bf95ddb48b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2" customWidth="1"/>
    <x:col min="2" max="2" width="17" customWidth="1"/>
    <x:col min="3" max="3" width="26.625" customWidth="1"/>
    <x:col min="4" max="4" width="26" customWidth="1"/>
    <x:col min="5" max="5" width="17.625" customWidth="1"/>
    <x:col min="6" max="6" width="15.75" customWidth="1"/>
    <x:col min="7" max="7" width="14.125" customWidth="1"/>
    <x:col min="8" max="8" width="19.875" customWidth="1"/>
    <x:col min="9" max="9" width="15.5" customWidth="1"/>
    <x:col min="10" max="10" width="13.875" customWidth="1"/>
    <x:col min="11" max="11" width="19.5" customWidth="1"/>
    <x:col min="12" max="12" width="17.125" customWidth="1"/>
    <x:col min="13" max="13" width="15.5" customWidth="1"/>
    <x:col min="14" max="14" width="21.25" customWidth="1"/>
    <x:col min="15" max="15" width="12.125" customWidth="1"/>
    <x:col min="16" max="16" width="13.25" customWidth="1"/>
    <x:col min="17" max="17" width="15.25" customWidth="1"/>
  </x:cols>
  <x:sheetData>
    <x:row r="1" ht="14.25" customHeight="1">
      <x:c r="A1" s="1" t="s">
        <x:v>193</x:v>
      </x:c>
      <x:c r="B1" s="2" t="s">
        <x:v>175</x:v>
      </x:c>
      <x:c r="C1" s="2" t="s">
        <x:v>194</x:v>
      </x:c>
      <x:c r="D1" s="2" t="s">
        <x:v>195</x:v>
      </x:c>
      <x:c r="E1" s="2" t="s">
        <x:v>196</x:v>
      </x:c>
      <x:c r="F1" s="2" t="s">
        <x:v>197</x:v>
      </x:c>
      <x:c r="G1" s="2" t="s">
        <x:v>198</x:v>
      </x:c>
      <x:c r="H1" s="2" t="s">
        <x:v>199</x:v>
      </x:c>
      <x:c r="I1" s="2" t="s">
        <x:v>200</x:v>
      </x:c>
      <x:c r="J1" s="2" t="s">
        <x:v>201</x:v>
      </x:c>
      <x:c r="K1" s="2" t="s">
        <x:v>202</x:v>
      </x:c>
      <x:c r="L1" s="2" t="s">
        <x:v>203</x:v>
      </x:c>
      <x:c r="M1" s="2" t="s">
        <x:v>204</x:v>
      </x:c>
      <x:c r="N1" s="2" t="s">
        <x:v>205</x:v>
      </x:c>
      <x:c r="O1" s="2" t="s">
        <x:v>206</x:v>
      </x:c>
      <x:c r="P1" s="2" t="s">
        <x:v>207</x:v>
      </x:c>
      <x:c r="Q1" s="3" t="s">
        <x:v>208</x:v>
      </x:c>
    </x:row>
    <x:row r="2" ht="14.25" customHeight="1">
      <x:c r="A2" s="131" t="s">
        <x:v>25</x:v>
      </x:c>
      <x:c r="B2" s="131" t="s">
        <x:v>27</x:v>
      </x:c>
      <x:c r="C2" s="131" t="s">
        <x:v>209</x:v>
      </x:c>
      <x:c r="D2" s="131" t="s">
        <x:v>210</x:v>
      </x:c>
      <x:c r="E2" s="131" t="s">
        <x:v>28</x:v>
      </x:c>
      <x:c r="F2" s="131">
        <x:v>206</x:v>
      </x:c>
      <x:c r="G2" s="131">
        <x:v>283</x:v>
      </x:c>
      <x:c r="H2" s="162">
        <x:v>72.791499999999999</x:v>
      </x:c>
      <x:c r="I2" s="131">
        <x:v>290</x:v>
      </x:c>
      <x:c r="J2" s="131">
        <x:v>400</x:v>
      </x:c>
      <x:c r="K2" s="162">
        <x:v>72.5</x:v>
      </x:c>
      <x:c r="L2" s="131">
        <x:v>234</x:v>
      </x:c>
      <x:c r="M2" s="131">
        <x:v>400</x:v>
      </x:c>
      <x:c r="N2" s="162">
        <x:v>58.5</x:v>
      </x:c>
      <x:c r="O2" s="167" t="s">
        <x:v>23</x:v>
      </x:c>
      <x:c r="P2" s="167">
        <x:v>95844</x:v>
      </x:c>
      <x:c r="Q2" s="167">
        <x:v>0</x:v>
      </x:c>
    </x:row>
    <x:row r="3" ht="14.25" customHeight="1">
      <x:c r="A3" s="136" t="s">
        <x:v>25</x:v>
      </x:c>
      <x:c r="B3" s="136" t="s">
        <x:v>27</x:v>
      </x:c>
      <x:c r="C3" s="136" t="s">
        <x:v>209</x:v>
      </x:c>
      <x:c r="D3" s="136" t="s">
        <x:v>211</x:v>
      </x:c>
      <x:c r="E3" s="136" t="s">
        <x:v>32</x:v>
      </x:c>
      <x:c r="F3" s="136">
        <x:v>209</x:v>
      </x:c>
      <x:c r="G3" s="136">
        <x:v>283</x:v>
      </x:c>
      <x:c r="H3" s="163">
        <x:v>73.851599999999991</x:v>
      </x:c>
      <x:c r="I3" s="136">
        <x:v>282</x:v>
      </x:c>
      <x:c r="J3" s="136">
        <x:v>400</x:v>
      </x:c>
      <x:c r="K3" s="163">
        <x:v>70.5</x:v>
      </x:c>
      <x:c r="L3" s="136">
        <x:v>231</x:v>
      </x:c>
      <x:c r="M3" s="136">
        <x:v>400</x:v>
      </x:c>
      <x:c r="N3" s="163">
        <x:v>57.75</x:v>
      </x:c>
      <x:c r="O3" s="168" t="s">
        <x:v>23</x:v>
      </x:c>
      <x:c r="P3" s="168">
        <x:v>104456</x:v>
      </x:c>
      <x:c r="Q3" s="168">
        <x:v>102400</x:v>
      </x:c>
    </x:row>
    <x:row r="4" ht="14.25" customHeight="1">
      <x:c r="A4" s="139" t="s">
        <x:v>25</x:v>
      </x:c>
      <x:c r="B4" s="139" t="s">
        <x:v>27</x:v>
      </x:c>
      <x:c r="C4" s="139" t="s">
        <x:v>209</x:v>
      </x:c>
      <x:c r="D4" s="139" t="s">
        <x:v>211</x:v>
      </x:c>
      <x:c r="E4" s="139" t="s">
        <x:v>34</x:v>
      </x:c>
      <x:c r="F4" s="139">
        <x:v>200</x:v>
      </x:c>
      <x:c r="G4" s="139">
        <x:v>283</x:v>
      </x:c>
      <x:c r="H4" s="164">
        <x:v>70.671399999999991</x:v>
      </x:c>
      <x:c r="I4" s="139">
        <x:v>275</x:v>
      </x:c>
      <x:c r="J4" s="139">
        <x:v>400</x:v>
      </x:c>
      <x:c r="K4" s="164">
        <x:v>68.75</x:v>
      </x:c>
      <x:c r="L4" s="139">
        <x:v>225</x:v>
      </x:c>
      <x:c r="M4" s="139">
        <x:v>400</x:v>
      </x:c>
      <x:c r="N4" s="164">
        <x:v>56.25</x:v>
      </x:c>
      <x:c r="O4" s="169" t="s">
        <x:v>23</x:v>
      </x:c>
      <x:c r="P4" s="169">
        <x:v>106329</x:v>
      </x:c>
      <x:c r="Q4" s="169">
        <x:v>409600</x:v>
      </x:c>
    </x:row>
    <x:row r="5" ht="14.25" customHeight="1">
      <x:c r="A5" s="136" t="s">
        <x:v>25</x:v>
      </x:c>
      <x:c r="B5" s="136" t="s">
        <x:v>36</x:v>
      </x:c>
      <x:c r="C5" s="136" t="s">
        <x:v>212</x:v>
      </x:c>
      <x:c r="D5" s="136" t="s">
        <x:v>213</x:v>
      </x:c>
      <x:c r="E5" s="136" t="s">
        <x:v>28</x:v>
      </x:c>
      <x:c r="F5" s="136">
        <x:v>216</x:v>
      </x:c>
      <x:c r="G5" s="136">
        <x:v>283</x:v>
      </x:c>
      <x:c r="H5" s="163">
        <x:v>76.325100000000006</x:v>
      </x:c>
      <x:c r="I5" s="136">
        <x:v>286</x:v>
      </x:c>
      <x:c r="J5" s="136">
        <x:v>400</x:v>
      </x:c>
      <x:c r="K5" s="163">
        <x:v>71.5</x:v>
      </x:c>
      <x:c r="L5" s="136">
        <x:v>238</x:v>
      </x:c>
      <x:c r="M5" s="136">
        <x:v>400</x:v>
      </x:c>
      <x:c r="N5" s="163">
        <x:v>59.5</x:v>
      </x:c>
      <x:c r="O5" s="168" t="s">
        <x:v>23</x:v>
      </x:c>
      <x:c r="P5" s="168">
        <x:v>100306</x:v>
      </x:c>
      <x:c r="Q5" s="168">
        <x:v>0</x:v>
      </x:c>
    </x:row>
    <x:row r="6" ht="14.25" customHeight="1">
      <x:c r="A6" s="139" t="s">
        <x:v>25</x:v>
      </x:c>
      <x:c r="B6" s="139" t="s">
        <x:v>36</x:v>
      </x:c>
      <x:c r="C6" s="139" t="s">
        <x:v>212</x:v>
      </x:c>
      <x:c r="D6" s="139" t="s">
        <x:v>213</x:v>
      </x:c>
      <x:c r="E6" s="139" t="s">
        <x:v>32</x:v>
      </x:c>
      <x:c r="F6" s="139">
        <x:v>219</x:v>
      </x:c>
      <x:c r="G6" s="139">
        <x:v>283</x:v>
      </x:c>
      <x:c r="H6" s="164">
        <x:v>77.385199999999998</x:v>
      </x:c>
      <x:c r="I6" s="139">
        <x:v>285</x:v>
      </x:c>
      <x:c r="J6" s="139">
        <x:v>400</x:v>
      </x:c>
      <x:c r="K6" s="164">
        <x:v>71.25</x:v>
      </x:c>
      <x:c r="L6" s="139">
        <x:v>238</x:v>
      </x:c>
      <x:c r="M6" s="139">
        <x:v>400</x:v>
      </x:c>
      <x:c r="N6" s="164">
        <x:v>59.5</x:v>
      </x:c>
      <x:c r="O6" s="169" t="s">
        <x:v>23</x:v>
      </x:c>
      <x:c r="P6" s="169">
        <x:v>99165</x:v>
      </x:c>
      <x:c r="Q6" s="169">
        <x:v>102400</x:v>
      </x:c>
    </x:row>
    <x:row r="7" ht="14.25" customHeight="1">
      <x:c r="A7" s="136" t="s">
        <x:v>25</x:v>
      </x:c>
      <x:c r="B7" s="136" t="s">
        <x:v>36</x:v>
      </x:c>
      <x:c r="C7" s="136" t="s">
        <x:v>212</x:v>
      </x:c>
      <x:c r="D7" s="136" t="s">
        <x:v>213</x:v>
      </x:c>
      <x:c r="E7" s="136" t="s">
        <x:v>34</x:v>
      </x:c>
      <x:c r="F7" s="136">
        <x:v>220</x:v>
      </x:c>
      <x:c r="G7" s="136">
        <x:v>283</x:v>
      </x:c>
      <x:c r="H7" s="163">
        <x:v>77.738500000000002</x:v>
      </x:c>
      <x:c r="I7" s="136">
        <x:v>287</x:v>
      </x:c>
      <x:c r="J7" s="136">
        <x:v>400</x:v>
      </x:c>
      <x:c r="K7" s="163">
        <x:v>71.75</x:v>
      </x:c>
      <x:c r="L7" s="136">
        <x:v>243</x:v>
      </x:c>
      <x:c r="M7" s="136">
        <x:v>400</x:v>
      </x:c>
      <x:c r="N7" s="163">
        <x:v>60.750000000000007</x:v>
      </x:c>
      <x:c r="O7" s="168" t="s">
        <x:v>23</x:v>
      </x:c>
      <x:c r="P7" s="168">
        <x:v>100337</x:v>
      </x:c>
      <x:c r="Q7" s="168">
        <x:v>409600</x:v>
      </x:c>
    </x:row>
    <x:row r="8" ht="14.25" customHeight="1">
      <x:c r="A8" s="139" t="s">
        <x:v>39</x:v>
      </x:c>
      <x:c r="B8" s="139" t="s">
        <x:v>41</x:v>
      </x:c>
      <x:c r="C8" s="139" t="s">
        <x:v>214</x:v>
      </x:c>
      <x:c r="D8" s="139" t="s">
        <x:v>215</x:v>
      </x:c>
      <x:c r="E8" s="139" t="s">
        <x:v>28</x:v>
      </x:c>
      <x:c r="F8" s="139">
        <x:v>194</x:v>
      </x:c>
      <x:c r="G8" s="139">
        <x:v>283</x:v>
      </x:c>
      <x:c r="H8" s="164">
        <x:v>68.551236749116612</x:v>
      </x:c>
      <x:c r="I8" s="139">
        <x:v>285</x:v>
      </x:c>
      <x:c r="J8" s="139">
        <x:v>400</x:v>
      </x:c>
      <x:c r="K8" s="164">
        <x:v>71.25</x:v>
      </x:c>
      <x:c r="L8" s="139">
        <x:v>222</x:v>
      </x:c>
      <x:c r="M8" s="139">
        <x:v>400</x:v>
      </x:c>
      <x:c r="N8" s="164">
        <x:v>55.500000000000007</x:v>
      </x:c>
      <x:c r="O8" s="169">
        <x:v>0</x:v>
      </x:c>
      <x:c r="P8" s="169">
        <x:v>0</x:v>
      </x:c>
      <x:c r="Q8" s="169">
        <x:v>0</x:v>
      </x:c>
    </x:row>
    <x:row r="9" ht="14.25" customHeight="1">
      <x:c r="A9" s="136" t="s">
        <x:v>39</x:v>
      </x:c>
      <x:c r="B9" s="136" t="s">
        <x:v>45</x:v>
      </x:c>
      <x:c r="C9" s="136" t="s">
        <x:v>216</x:v>
      </x:c>
      <x:c r="D9" s="136" t="s">
        <x:v>215</x:v>
      </x:c>
      <x:c r="E9" s="136" t="s">
        <x:v>28</x:v>
      </x:c>
      <x:c r="F9" s="136">
        <x:v>233</x:v>
      </x:c>
      <x:c r="G9" s="136">
        <x:v>283</x:v>
      </x:c>
      <x:c r="H9" s="163">
        <x:v>82.332155477031804</x:v>
      </x:c>
      <x:c r="I9" s="136">
        <x:v>290</x:v>
      </x:c>
      <x:c r="J9" s="136">
        <x:v>400</x:v>
      </x:c>
      <x:c r="K9" s="163">
        <x:v>72.5</x:v>
      </x:c>
      <x:c r="L9" s="136">
        <x:v>250</x:v>
      </x:c>
      <x:c r="M9" s="136">
        <x:v>400</x:v>
      </x:c>
      <x:c r="N9" s="163">
        <x:v>62.5</x:v>
      </x:c>
      <x:c r="O9" s="168">
        <x:v>0</x:v>
      </x:c>
      <x:c r="P9" s="168">
        <x:v>0</x:v>
      </x:c>
      <x:c r="Q9" s="168">
        <x:v>0</x:v>
      </x:c>
    </x:row>
    <x:row r="10" ht="14.25" customHeight="1">
      <x:c r="A10" s="139" t="s">
        <x:v>47</x:v>
      </x:c>
      <x:c r="B10" s="139" t="s">
        <x:v>49</x:v>
      </x:c>
      <x:c r="C10" s="139" t="s">
        <x:v>217</x:v>
      </x:c>
      <x:c r="D10" s="139" t="s">
        <x:v>218</x:v>
      </x:c>
      <x:c r="E10" s="139" t="s">
        <x:v>28</x:v>
      </x:c>
      <x:c r="F10" s="139">
        <x:v>232</x:v>
      </x:c>
      <x:c r="G10" s="139">
        <x:v>283</x:v>
      </x:c>
      <x:c r="H10" s="164">
        <x:v>81.978798586572438</x:v>
      </x:c>
      <x:c r="I10" s="139">
        <x:v>299</x:v>
      </x:c>
      <x:c r="J10" s="139">
        <x:v>400</x:v>
      </x:c>
      <x:c r="K10" s="164">
        <x:v>74.75</x:v>
      </x:c>
      <x:c r="L10" s="139">
        <x:v>267</x:v>
      </x:c>
      <x:c r="M10" s="139">
        <x:v>400</x:v>
      </x:c>
      <x:c r="N10" s="164">
        <x:v>66.75</x:v>
      </x:c>
      <x:c r="O10" s="169">
        <x:v>1619365</x:v>
      </x:c>
      <x:c r="P10" s="169">
        <x:v>101311</x:v>
      </x:c>
      <x:c r="Q10" s="169">
        <x:v>0</x:v>
      </x:c>
    </x:row>
    <x:row r="11" ht="14.25" customHeight="1">
      <x:c r="A11" s="136" t="s">
        <x:v>47</x:v>
      </x:c>
      <x:c r="B11" s="136" t="s">
        <x:v>49</x:v>
      </x:c>
      <x:c r="C11" s="136" t="s">
        <x:v>217</x:v>
      </x:c>
      <x:c r="D11" s="136" t="s">
        <x:v>218</x:v>
      </x:c>
      <x:c r="E11" s="136" t="s">
        <x:v>32</x:v>
      </x:c>
      <x:c r="F11" s="136">
        <x:v>237</x:v>
      </x:c>
      <x:c r="G11" s="136">
        <x:v>283</x:v>
      </x:c>
      <x:c r="H11" s="163">
        <x:v>83.745583038869256</x:v>
      </x:c>
      <x:c r="I11" s="136">
        <x:v>294</x:v>
      </x:c>
      <x:c r="J11" s="136">
        <x:v>400</x:v>
      </x:c>
      <x:c r="K11" s="163">
        <x:v>73.5</x:v>
      </x:c>
      <x:c r="L11" s="136">
        <x:v>263</x:v>
      </x:c>
      <x:c r="M11" s="136">
        <x:v>400</x:v>
      </x:c>
      <x:c r="N11" s="163">
        <x:v>65.75</x:v>
      </x:c>
      <x:c r="O11" s="168">
        <x:v>1619365</x:v>
      </x:c>
      <x:c r="P11" s="168">
        <x:v>157786</x:v>
      </x:c>
      <x:c r="Q11" s="168">
        <x:v>59474</x:v>
      </x:c>
    </x:row>
    <x:row r="12" ht="14.25" customHeight="1">
      <x:c r="A12" s="139" t="s">
        <x:v>47</x:v>
      </x:c>
      <x:c r="B12" s="139" t="s">
        <x:v>49</x:v>
      </x:c>
      <x:c r="C12" s="139" t="s">
        <x:v>217</x:v>
      </x:c>
      <x:c r="D12" s="139" t="s">
        <x:v>218</x:v>
      </x:c>
      <x:c r="E12" s="139" t="s">
        <x:v>34</x:v>
      </x:c>
      <x:c r="F12" s="139">
        <x:v>237</x:v>
      </x:c>
      <x:c r="G12" s="139">
        <x:v>283</x:v>
      </x:c>
      <x:c r="H12" s="164">
        <x:v>83.745583038869256</x:v>
      </x:c>
      <x:c r="I12" s="139">
        <x:v>285</x:v>
      </x:c>
      <x:c r="J12" s="139">
        <x:v>400</x:v>
      </x:c>
      <x:c r="K12" s="164">
        <x:v>71.25</x:v>
      </x:c>
      <x:c r="L12" s="139">
        <x:v>272</x:v>
      </x:c>
      <x:c r="M12" s="139">
        <x:v>400</x:v>
      </x:c>
      <x:c r="N12" s="164">
        <x:v>68</x:v>
      </x:c>
      <x:c r="O12" s="169">
        <x:v>1619365</x:v>
      </x:c>
      <x:c r="P12" s="169">
        <x:v>1276440</x:v>
      </x:c>
      <x:c r="Q12" s="169">
        <x:v>1176995</x:v>
      </x:c>
    </x:row>
    <x:row r="13" ht="14.25" customHeight="1">
      <x:c r="A13" s="153" t="s">
        <x:v>53</x:v>
      </x:c>
      <x:c r="B13" s="153" t="s">
        <x:v>55</x:v>
      </x:c>
      <x:c r="C13" s="153" t="s">
        <x:v>219</x:v>
      </x:c>
      <x:c r="D13" s="153" t="s">
        <x:v>220</x:v>
      </x:c>
      <x:c r="E13" s="153" t="s">
        <x:v>28</x:v>
      </x:c>
      <x:c r="F13" s="153">
        <x:v>219</x:v>
      </x:c>
      <x:c r="G13" s="153">
        <x:v>283</x:v>
      </x:c>
      <x:c r="H13" s="165">
        <x:v>77.385159010600702</x:v>
      </x:c>
      <x:c r="I13" s="153">
        <x:v>266</x:v>
      </x:c>
      <x:c r="J13" s="153">
        <x:v>400</x:v>
      </x:c>
      <x:c r="K13" s="165">
        <x:v>66.5</x:v>
      </x:c>
      <x:c r="L13" s="153">
        <x:v>244</x:v>
      </x:c>
      <x:c r="M13" s="153">
        <x:v>400</x:v>
      </x:c>
      <x:c r="N13" s="165">
        <x:v>61</x:v>
      </x:c>
      <x:c r="O13" s="170">
        <x:v>1619365</x:v>
      </x:c>
      <x:c r="P13" s="170">
        <x:v>97523</x:v>
      </x:c>
      <x:c r="Q13" s="170">
        <x:v>0</x:v>
      </x:c>
    </x:row>
    <x:row r="14" ht="14.25" customHeight="1">
      <x:c r="A14" s="154" t="s">
        <x:v>53</x:v>
      </x:c>
      <x:c r="B14" s="154" t="s">
        <x:v>55</x:v>
      </x:c>
      <x:c r="C14" s="154" t="s">
        <x:v>219</x:v>
      </x:c>
      <x:c r="D14" s="154" t="s">
        <x:v>221</x:v>
      </x:c>
      <x:c r="E14" s="154" t="s">
        <x:v>32</x:v>
      </x:c>
      <x:c r="F14" s="154">
        <x:v>223</x:v>
      </x:c>
      <x:c r="G14" s="154">
        <x:v>283</x:v>
      </x:c>
      <x:c r="H14" s="166">
        <x:v>78.798586572438168</x:v>
      </x:c>
      <x:c r="I14" s="154">
        <x:v>267</x:v>
      </x:c>
      <x:c r="J14" s="154">
        <x:v>400</x:v>
      </x:c>
      <x:c r="K14" s="166">
        <x:v>66.75</x:v>
      </x:c>
      <x:c r="L14" s="154">
        <x:v>250</x:v>
      </x:c>
      <x:c r="M14" s="154">
        <x:v>400</x:v>
      </x:c>
      <x:c r="N14" s="166">
        <x:v>62.5</x:v>
      </x:c>
      <x:c r="O14" s="171">
        <x:v>1619365</x:v>
      </x:c>
      <x:c r="P14" s="171">
        <x:v>167714</x:v>
      </x:c>
      <x:c r="Q14" s="171">
        <x:v>67928</x:v>
      </x:c>
    </x:row>
    <x:row r="15" ht="14.25" customHeight="1">
      <x:c r="A15" s="149" t="s">
        <x:v>53</x:v>
      </x:c>
      <x:c r="B15" s="149" t="s">
        <x:v>55</x:v>
      </x:c>
      <x:c r="C15" s="149" t="s">
        <x:v>219</x:v>
      </x:c>
      <x:c r="D15" s="149" t="s">
        <x:v>221</x:v>
      </x:c>
      <x:c r="E15" s="149" t="s">
        <x:v>34</x:v>
      </x:c>
      <x:c r="F15" s="149">
        <x:v>215</x:v>
      </x:c>
      <x:c r="G15" s="149">
        <x:v>283</x:v>
      </x:c>
      <x:c r="H15" s="151">
        <x:v>75.971731448763251</x:v>
      </x:c>
      <x:c r="I15" s="149">
        <x:v>267</x:v>
      </x:c>
      <x:c r="J15" s="149">
        <x:v>400</x:v>
      </x:c>
      <x:c r="K15" s="151">
        <x:v>66.75</x:v>
      </x:c>
      <x:c r="L15" s="149">
        <x:v>249</x:v>
      </x:c>
      <x:c r="M15" s="149">
        <x:v>400</x:v>
      </x:c>
      <x:c r="N15" s="151">
        <x:v>62.250000000000007</x:v>
      </x:c>
      <x:c r="O15" s="172">
        <x:v>1619365</x:v>
      </x:c>
      <x:c r="P15" s="172">
        <x:v>334930</x:v>
      </x:c>
      <x:c r="Q15" s="172">
        <x:v>230941</x:v>
      </x:c>
    </x:row>
    <x:row r="16" ht="14.25" customHeight="1">
      <x:c r="A16" s="150" t="s">
        <x:v>59</x:v>
      </x:c>
      <x:c r="B16" s="150" t="s">
        <x:v>61</x:v>
      </x:c>
      <x:c r="C16" s="150" t="s">
        <x:v>108</x:v>
      </x:c>
      <x:c r="D16" s="150" t="s">
        <x:v>222</x:v>
      </x:c>
      <x:c r="E16" s="150" t="s">
        <x:v>28</x:v>
      </x:c>
      <x:c r="F16" s="150">
        <x:v>227</x:v>
      </x:c>
      <x:c r="G16" s="150">
        <x:v>283</x:v>
      </x:c>
      <x:c r="H16" s="152">
        <x:v>80.21201413427562</x:v>
      </x:c>
      <x:c r="I16" s="150">
        <x:v>294</x:v>
      </x:c>
      <x:c r="J16" s="150">
        <x:v>400</x:v>
      </x:c>
      <x:c r="K16" s="152">
        <x:v>73.5</x:v>
      </x:c>
      <x:c r="L16" s="150">
        <x:v>263</x:v>
      </x:c>
      <x:c r="M16" s="150">
        <x:v>400</x:v>
      </x:c>
      <x:c r="N16" s="152">
        <x:v>65.75</x:v>
      </x:c>
      <x:c r="O16" s="173">
        <x:v>1598828</x:v>
      </x:c>
      <x:c r="P16" s="173">
        <x:v>94446</x:v>
      </x:c>
      <x:c r="Q16" s="173">
        <x:v>0</x:v>
      </x:c>
    </x:row>
    <x:row r="17" ht="14.25" customHeight="1">
      <x:c r="A17" s="149" t="s">
        <x:v>64</x:v>
      </x:c>
      <x:c r="B17" s="149" t="s">
        <x:v>66</x:v>
      </x:c>
      <x:c r="C17" s="149" t="s">
        <x:v>223</x:v>
      </x:c>
      <x:c r="D17" s="149" t="s">
        <x:v>218</x:v>
      </x:c>
      <x:c r="E17" s="149" t="s">
        <x:v>32</x:v>
      </x:c>
      <x:c r="F17" s="149">
        <x:v>227</x:v>
      </x:c>
      <x:c r="G17" s="149">
        <x:v>283</x:v>
      </x:c>
      <x:c r="H17" s="151">
        <x:v>80.21201413427562</x:v>
      </x:c>
      <x:c r="I17" s="149">
        <x:v>276</x:v>
      </x:c>
      <x:c r="J17" s="149">
        <x:v>400</x:v>
      </x:c>
      <x:c r="K17" s="151">
        <x:v>69</x:v>
      </x:c>
      <x:c r="L17" s="149">
        <x:v>246</x:v>
      </x:c>
      <x:c r="M17" s="149">
        <x:v>400</x:v>
      </x:c>
      <x:c r="N17" s="151">
        <x:v>61.5</x:v>
      </x:c>
      <x:c r="O17" s="172">
        <x:v>1598828</x:v>
      </x:c>
      <x:c r="P17" s="172">
        <x:v>98371</x:v>
      </x:c>
      <x:c r="Q17" s="172">
        <x:v>241</x:v>
      </x:c>
    </x:row>
    <x:row r="18" ht="14.25" customHeight="1">
      <x:c r="A18" s="150" t="s">
        <x:v>64</x:v>
      </x:c>
      <x:c r="B18" s="150" t="s">
        <x:v>66</x:v>
      </x:c>
      <x:c r="C18" s="150" t="s">
        <x:v>223</x:v>
      </x:c>
      <x:c r="D18" s="150" t="s">
        <x:v>218</x:v>
      </x:c>
      <x:c r="E18" s="150" t="s">
        <x:v>34</x:v>
      </x:c>
      <x:c r="F18" s="150">
        <x:v>239</x:v>
      </x:c>
      <x:c r="G18" s="150">
        <x:v>283</x:v>
      </x:c>
      <x:c r="H18" s="152">
        <x:v>84.452296819787989</x:v>
      </x:c>
      <x:c r="I18" s="150">
        <x:v>287</x:v>
      </x:c>
      <x:c r="J18" s="150">
        <x:v>400</x:v>
      </x:c>
      <x:c r="K18" s="152">
        <x:v>71.75</x:v>
      </x:c>
      <x:c r="L18" s="150">
        <x:v>263</x:v>
      </x:c>
      <x:c r="M18" s="150">
        <x:v>400</x:v>
      </x:c>
      <x:c r="N18" s="152">
        <x:v>65.75</x:v>
      </x:c>
      <x:c r="O18" s="173">
        <x:v>1598828</x:v>
      </x:c>
      <x:c r="P18" s="173">
        <x:v>112843</x:v>
      </x:c>
      <x:c r="Q18" s="173">
        <x:v>714968</x:v>
      </x:c>
    </x:row>
    <x:row r="19" ht="14.25" customHeight="1">
      <x:c r="A19" s="149" t="s">
        <x:v>68</x:v>
      </x:c>
      <x:c r="B19" s="149" t="s">
        <x:v>70</x:v>
      </x:c>
      <x:c r="C19" s="149" t="s">
        <x:v>108</x:v>
      </x:c>
      <x:c r="D19" s="149" t="s">
        <x:v>221</x:v>
      </x:c>
      <x:c r="E19" s="149" t="s">
        <x:v>32</x:v>
      </x:c>
      <x:c r="F19" s="149">
        <x:v>239</x:v>
      </x:c>
      <x:c r="G19" s="149">
        <x:v>283</x:v>
      </x:c>
      <x:c r="H19" s="151">
        <x:v>84.452296819787989</x:v>
      </x:c>
      <x:c r="I19" s="149">
        <x:v>288</x:v>
      </x:c>
      <x:c r="J19" s="149">
        <x:v>400</x:v>
      </x:c>
      <x:c r="K19" s="151">
        <x:v>72</x:v>
      </x:c>
      <x:c r="L19" s="149">
        <x:v>263</x:v>
      </x:c>
      <x:c r="M19" s="149">
        <x:v>400</x:v>
      </x:c>
      <x:c r="N19" s="151">
        <x:v>65.75</x:v>
      </x:c>
      <x:c r="O19" s="172">
        <x:v>1598828</x:v>
      </x:c>
      <x:c r="P19" s="172">
        <x:v>97282</x:v>
      </x:c>
      <x:c r="Q19" s="172">
        <x:v>85356</x:v>
      </x:c>
    </x:row>
    <x:row r="20" ht="14.25" customHeight="1">
      <x:c r="A20" s="150" t="s">
        <x:v>68</x:v>
      </x:c>
      <x:c r="B20" s="150" t="s">
        <x:v>70</x:v>
      </x:c>
      <x:c r="C20" s="150" t="s">
        <x:v>108</x:v>
      </x:c>
      <x:c r="D20" s="150" t="s">
        <x:v>221</x:v>
      </x:c>
      <x:c r="E20" s="150" t="s">
        <x:v>34</x:v>
      </x:c>
      <x:c r="F20" s="150">
        <x:v>245</x:v>
      </x:c>
      <x:c r="G20" s="150">
        <x:v>283</x:v>
      </x:c>
      <x:c r="H20" s="152">
        <x:v>86.572438162544174</x:v>
      </x:c>
      <x:c r="I20" s="150">
        <x:v>299</x:v>
      </x:c>
      <x:c r="J20" s="150">
        <x:v>400</x:v>
      </x:c>
      <x:c r="K20" s="152">
        <x:v>74.75</x:v>
      </x:c>
      <x:c r="L20" s="150">
        <x:v>272</x:v>
      </x:c>
      <x:c r="M20" s="150">
        <x:v>400</x:v>
      </x:c>
      <x:c r="N20" s="152">
        <x:v>68</x:v>
      </x:c>
      <x:c r="O20" s="173">
        <x:v>1598828</x:v>
      </x:c>
      <x:c r="P20" s="173">
        <x:v>94335</x:v>
      </x:c>
      <x:c r="Q20" s="173">
        <x:v>1396283</x:v>
      </x:c>
    </x:row>
  </x:sheetData>
  <x:pageMargins left="0.7" right="0.7" top="0.75" bottom="0.75" header="0.3" footer="0.3"/>
  <x:tableParts count="1">
    <x:tablePart xmlns:r="http://schemas.openxmlformats.org/officeDocument/2006/relationships" r:id="R928a2fa3de594dd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5.125" customWidth="1"/>
    <x:col min="2" max="2" width="20.75" customWidth="1"/>
    <x:col min="3" max="3" width="7.875" customWidth="1"/>
    <x:col min="4" max="4" width="6.25" customWidth="1"/>
    <x:col min="5" max="5" width="9.375" customWidth="1"/>
    <x:col min="6" max="6" width="10.625" customWidth="1"/>
    <x:col min="7" max="7" width="10.75" customWidth="1"/>
  </x:cols>
  <x:sheetData>
    <x:row r="1" ht="14.25" customHeight="1">
      <x:c r="A1" s="1" t="s">
        <x:v>175</x:v>
      </x:c>
      <x:c r="B1" s="2" t="s">
        <x:v>224</x:v>
      </x:c>
      <x:c r="C1" s="2" t="s">
        <x:v>225</x:v>
      </x:c>
      <x:c r="D1" s="2" t="s">
        <x:v>226</x:v>
      </x:c>
      <x:c r="E1" s="2" t="s">
        <x:v>227</x:v>
      </x:c>
      <x:c r="F1" s="2" t="s">
        <x:v>228</x:v>
      </x:c>
      <x:c r="G1" s="3" t="s">
        <x:v>229</x:v>
      </x:c>
    </x:row>
    <x:row r="2" ht="14.25" customHeight="1">
      <x:c r="A2" s="131" t="s">
        <x:v>26</x:v>
      </x:c>
      <x:c r="B2" s="131" t="s">
        <x:v>230</x:v>
      </x:c>
      <x:c r="C2" s="131">
        <x:v>206</x:v>
      </x:c>
      <x:c r="D2" s="131">
        <x:v>283</x:v>
      </x:c>
      <x:c r="E2" s="155">
        <x:v>0.72791499999999998</x:v>
      </x:c>
      <x:c r="F2" s="155">
        <x:v>0.67327099999999995</x:v>
      </x:c>
      <x:c r="G2" s="155">
        <x:v>0.77645500000000001</x:v>
      </x:c>
    </x:row>
    <x:row r="3" ht="14.25" customHeight="1">
      <x:c r="A3" s="136" t="s">
        <x:v>26</x:v>
      </x:c>
      <x:c r="B3" s="136" t="s">
        <x:v>231</x:v>
      </x:c>
      <x:c r="C3" s="136">
        <x:v>290</x:v>
      </x:c>
      <x:c r="D3" s="136">
        <x:v>400</x:v>
      </x:c>
      <x:c r="E3" s="156">
        <x:v>0.72499999999999998</x:v>
      </x:c>
      <x:c r="F3" s="156">
        <x:v>0.67925819226057571</x:v>
      </x:c>
      <x:c r="G3" s="156">
        <x:v>0.76646127528899088</x:v>
      </x:c>
    </x:row>
    <x:row r="4" ht="14.25" customHeight="1">
      <x:c r="A4" s="139" t="s">
        <x:v>26</x:v>
      </x:c>
      <x:c r="B4" s="139" t="s">
        <x:v>232</x:v>
      </x:c>
      <x:c r="C4" s="139">
        <x:v>234</x:v>
      </x:c>
      <x:c r="D4" s="139">
        <x:v>400</x:v>
      </x:c>
      <x:c r="E4" s="157">
        <x:v>0.58499999999999996</x:v>
      </x:c>
      <x:c r="F4" s="157">
        <x:v>0.53612898519427943</x:v>
      </x:c>
      <x:c r="G4" s="157">
        <x:v>0.63225392476889009</x:v>
      </x:c>
    </x:row>
    <x:row r="5" ht="14.25" customHeight="1">
      <x:c r="A5" s="136" t="s">
        <x:v>31</x:v>
      </x:c>
      <x:c r="B5" s="136" t="s">
        <x:v>230</x:v>
      </x:c>
      <x:c r="C5" s="136">
        <x:v>209</x:v>
      </x:c>
      <x:c r="D5" s="136">
        <x:v>283</x:v>
      </x:c>
      <x:c r="E5" s="156">
        <x:v>0.73851599999999995</x:v>
      </x:c>
      <x:c r="F5" s="156">
        <x:v>0.68436699999999995</x:v>
      </x:c>
      <x:c r="G5" s="156">
        <x:v>0.78627599999999997</x:v>
      </x:c>
    </x:row>
    <x:row r="6" ht="14.25" customHeight="1">
      <x:c r="A6" s="139" t="s">
        <x:v>31</x:v>
      </x:c>
      <x:c r="B6" s="139" t="s">
        <x:v>231</x:v>
      </x:c>
      <x:c r="C6" s="139">
        <x:v>282</x:v>
      </x:c>
      <x:c r="D6" s="139">
        <x:v>400</x:v>
      </x:c>
      <x:c r="E6" s="157">
        <x:v>0.70499999999999996</x:v>
      </x:c>
      <x:c r="F6" s="157">
        <x:v>0.65852895099527597</x:v>
      </x:c>
      <x:c r="G6" s="157">
        <x:v>0.74757100832766243</x:v>
      </x:c>
    </x:row>
    <x:row r="7" ht="14.25" customHeight="1">
      <x:c r="A7" s="136" t="s">
        <x:v>31</x:v>
      </x:c>
      <x:c r="B7" s="136" t="s">
        <x:v>232</x:v>
      </x:c>
      <x:c r="C7" s="136">
        <x:v>231</x:v>
      </x:c>
      <x:c r="D7" s="136">
        <x:v>400</x:v>
      </x:c>
      <x:c r="E7" s="156">
        <x:v>0.57750000000000001</x:v>
      </x:c>
      <x:c r="F7" s="156">
        <x:v>0.52858101812570368</x:v>
      </x:c>
      <x:c r="G7" s="156">
        <x:v>0.62494457625248045</x:v>
      </x:c>
    </x:row>
    <x:row r="8" ht="14.25" customHeight="1">
      <x:c r="A8" s="139" t="s">
        <x:v>33</x:v>
      </x:c>
      <x:c r="B8" s="139" t="s">
        <x:v>230</x:v>
      </x:c>
      <x:c r="C8" s="139">
        <x:v>200</x:v>
      </x:c>
      <x:c r="D8" s="139">
        <x:v>283</x:v>
      </x:c>
      <x:c r="E8" s="157">
        <x:v>0.70671399999999995</x:v>
      </x:c>
      <x:c r="F8" s="157">
        <x:v>0.65118699999999996</x:v>
      </x:c>
      <x:c r="G8" s="157">
        <x:v>0.75670400000000004</x:v>
      </x:c>
    </x:row>
    <x:row r="9" ht="14.25" customHeight="1">
      <x:c r="A9" s="136" t="s">
        <x:v>33</x:v>
      </x:c>
      <x:c r="B9" s="136" t="s">
        <x:v>231</x:v>
      </x:c>
      <x:c r="C9" s="136">
        <x:v>275</x:v>
      </x:c>
      <x:c r="D9" s="136">
        <x:v>400</x:v>
      </x:c>
      <x:c r="E9" s="156">
        <x:v>0.6875</x:v>
      </x:c>
      <x:c r="F9" s="156">
        <x:v>0.64047445043771745</x:v>
      </x:c>
      <x:c r="G9" s="156">
        <x:v>0.73095843918692138</x:v>
      </x:c>
    </x:row>
    <x:row r="10" ht="14.25" customHeight="1">
      <x:c r="A10" s="139" t="s">
        <x:v>33</x:v>
      </x:c>
      <x:c r="B10" s="139" t="s">
        <x:v>232</x:v>
      </x:c>
      <x:c r="C10" s="139">
        <x:v>225</x:v>
      </x:c>
      <x:c r="D10" s="139">
        <x:v>400</x:v>
      </x:c>
      <x:c r="E10" s="157">
        <x:v>0.5625</x:v>
      </x:c>
      <x:c r="F10" s="157">
        <x:v>0.51351881364738683</x:v>
      </x:c>
      <x:c r="G10" s="157">
        <x:v>0.61029214956082611</x:v>
      </x:c>
    </x:row>
    <x:row r="11" ht="14.25" customHeight="1">
      <x:c r="A11" s="136" t="s">
        <x:v>35</x:v>
      </x:c>
      <x:c r="B11" s="136" t="s">
        <x:v>230</x:v>
      </x:c>
      <x:c r="C11" s="136">
        <x:v>216</x:v>
      </x:c>
      <x:c r="D11" s="136">
        <x:v>283</x:v>
      </x:c>
      <x:c r="E11" s="156">
        <x:v>0.76325100000000001</x:v>
      </x:c>
      <x:c r="F11" s="156">
        <x:v>0.71040599999999998</x:v>
      </x:c>
      <x:c r="G11" s="156">
        <x:v>0.80904500000000001</x:v>
      </x:c>
    </x:row>
    <x:row r="12" ht="14.25" customHeight="1">
      <x:c r="A12" s="139" t="s">
        <x:v>35</x:v>
      </x:c>
      <x:c r="B12" s="139" t="s">
        <x:v>231</x:v>
      </x:c>
      <x:c r="C12" s="139">
        <x:v>286</x:v>
      </x:c>
      <x:c r="D12" s="139">
        <x:v>400</x:v>
      </x:c>
      <x:c r="E12" s="157">
        <x:v>0.71499999999999997</x:v>
      </x:c>
      <x:c r="F12" s="157">
        <x:v>0.66888048333614081</x:v>
      </x:c>
      <x:c r="G12" s="157">
        <x:v>0.75702923010011158</x:v>
      </x:c>
    </x:row>
    <x:row r="13" ht="14.25" customHeight="1">
      <x:c r="A13" s="136" t="s">
        <x:v>35</x:v>
      </x:c>
      <x:c r="B13" s="136" t="s">
        <x:v>232</x:v>
      </x:c>
      <x:c r="C13" s="136">
        <x:v>238</x:v>
      </x:c>
      <x:c r="D13" s="136">
        <x:v>400</x:v>
      </x:c>
      <x:c r="E13" s="156">
        <x:v>0.59499999999999997</x:v>
      </x:c>
      <x:c r="F13" s="156">
        <x:v>0.54621061660041836</x:v>
      </x:c>
      <x:c r="G13" s="156">
        <x:v>0.64198204747606535</x:v>
      </x:c>
    </x:row>
    <x:row r="14" ht="14.25" customHeight="1">
      <x:c r="A14" s="139" t="s">
        <x:v>37</x:v>
      </x:c>
      <x:c r="B14" s="139" t="s">
        <x:v>230</x:v>
      </x:c>
      <x:c r="C14" s="139">
        <x:v>219</x:v>
      </x:c>
      <x:c r="D14" s="139">
        <x:v>283</x:v>
      </x:c>
      <x:c r="E14" s="157">
        <x:v>0.77385199999999998</x:v>
      </x:c>
      <x:c r="F14" s="157">
        <x:v>0.72163299999999997</x:v>
      </x:c>
      <x:c r="G14" s="157">
        <x:v>0.81873499999999999</x:v>
      </x:c>
    </x:row>
    <x:row r="15" ht="14.25" customHeight="1">
      <x:c r="A15" s="136" t="s">
        <x:v>37</x:v>
      </x:c>
      <x:c r="B15" s="136" t="s">
        <x:v>231</x:v>
      </x:c>
      <x:c r="C15" s="136">
        <x:v>285</x:v>
      </x:c>
      <x:c r="D15" s="136">
        <x:v>400</x:v>
      </x:c>
      <x:c r="E15" s="156">
        <x:v>0.71250000000000002</x:v>
      </x:c>
      <x:c r="F15" s="156">
        <x:v>0.66629017799808621</x:v>
      </x:c>
      <x:c r="G15" s="156">
        <x:v>0.7546670969098378</x:v>
      </x:c>
    </x:row>
    <x:row r="16" ht="14.25" customHeight="1">
      <x:c r="A16" s="139" t="s">
        <x:v>37</x:v>
      </x:c>
      <x:c r="B16" s="139" t="s">
        <x:v>232</x:v>
      </x:c>
      <x:c r="C16" s="139">
        <x:v>238</x:v>
      </x:c>
      <x:c r="D16" s="139">
        <x:v>400</x:v>
      </x:c>
      <x:c r="E16" s="157">
        <x:v>0.59499999999999997</x:v>
      </x:c>
      <x:c r="F16" s="157">
        <x:v>0.54621061660041836</x:v>
      </x:c>
      <x:c r="G16" s="157">
        <x:v>0.64198204747606535</x:v>
      </x:c>
    </x:row>
    <x:row r="17" ht="14.25" customHeight="1">
      <x:c r="A17" s="136" t="s">
        <x:v>38</x:v>
      </x:c>
      <x:c r="B17" s="136" t="s">
        <x:v>230</x:v>
      </x:c>
      <x:c r="C17" s="136">
        <x:v>220</x:v>
      </x:c>
      <x:c r="D17" s="136">
        <x:v>283</x:v>
      </x:c>
      <x:c r="E17" s="156">
        <x:v>0.77738499999999999</x:v>
      </x:c>
      <x:c r="F17" s="156">
        <x:v>0.72538499999999995</x:v>
      </x:c>
      <x:c r="G17" s="156">
        <x:v>0.82195499999999999</x:v>
      </x:c>
    </x:row>
    <x:row r="18" ht="14.25" customHeight="1">
      <x:c r="A18" s="139" t="s">
        <x:v>38</x:v>
      </x:c>
      <x:c r="B18" s="139" t="s">
        <x:v>231</x:v>
      </x:c>
      <x:c r="C18" s="139">
        <x:v>287</x:v>
      </x:c>
      <x:c r="D18" s="139">
        <x:v>400</x:v>
      </x:c>
      <x:c r="E18" s="157">
        <x:v>0.71750000000000003</x:v>
      </x:c>
      <x:c r="F18" s="157">
        <x:v>0.67147242431605569</x:v>
      </x:c>
      <x:c r="G18" s="157">
        <x:v>0.7593897276485253</x:v>
      </x:c>
    </x:row>
    <x:row r="19" ht="14.25" customHeight="1">
      <x:c r="A19" s="136" t="s">
        <x:v>38</x:v>
      </x:c>
      <x:c r="B19" s="136" t="s">
        <x:v>232</x:v>
      </x:c>
      <x:c r="C19" s="136">
        <x:v>243</x:v>
      </x:c>
      <x:c r="D19" s="136">
        <x:v>400</x:v>
      </x:c>
      <x:c r="E19" s="156">
        <x:v>0.60750000000000004</x:v>
      </x:c>
      <x:c r="F19" s="156">
        <x:v>0.55884138334130107</x:v>
      </x:c>
      <x:c r="G19" s="156">
        <x:v>0.65411347337682524</x:v>
      </x:c>
    </x:row>
    <x:row r="20" ht="14.25" customHeight="1">
      <x:c r="A20" s="139" t="s">
        <x:v>40</x:v>
      </x:c>
      <x:c r="B20" s="139" t="s">
        <x:v>230</x:v>
      </x:c>
      <x:c r="C20" s="139">
        <x:v>194</x:v>
      </x:c>
      <x:c r="D20" s="139">
        <x:v>283</x:v>
      </x:c>
      <x:c r="E20" s="157">
        <x:v>0.68551236749116606</x:v>
      </x:c>
      <x:c r="F20" s="157">
        <x:v>0.62923808960730732</x:v>
      </x:c>
      <x:c r="G20" s="157">
        <x:v>0.7368177812270269</x:v>
      </x:c>
    </x:row>
    <x:row r="21" ht="14.25" customHeight="1">
      <x:c r="A21" s="136" t="s">
        <x:v>40</x:v>
      </x:c>
      <x:c r="B21" s="136" t="s">
        <x:v>231</x:v>
      </x:c>
      <x:c r="C21" s="136">
        <x:v>285</x:v>
      </x:c>
      <x:c r="D21" s="136">
        <x:v>400</x:v>
      </x:c>
      <x:c r="E21" s="156">
        <x:v>0.71250000000000002</x:v>
      </x:c>
      <x:c r="F21" s="156">
        <x:v>0.66629017799808621</x:v>
      </x:c>
      <x:c r="G21" s="156">
        <x:v>0.7546670969098378</x:v>
      </x:c>
    </x:row>
    <x:row r="22" ht="14.25" customHeight="1">
      <x:c r="A22" s="139" t="s">
        <x:v>40</x:v>
      </x:c>
      <x:c r="B22" s="139" t="s">
        <x:v>232</x:v>
      </x:c>
      <x:c r="C22" s="139">
        <x:v>222</x:v>
      </x:c>
      <x:c r="D22" s="139">
        <x:v>400</x:v>
      </x:c>
      <x:c r="E22" s="157">
        <x:v>0.55500000000000005</x:v>
      </x:c>
      <x:c r="F22" s="157">
        <x:v>0.50600443366488201</x:v>
      </x:c>
      <x:c r="G22" s="157">
        <x:v>0.60294921395834555</x:v>
      </x:c>
    </x:row>
    <x:row r="23" ht="14.25" customHeight="1">
      <x:c r="A23" s="136" t="s">
        <x:v>44</x:v>
      </x:c>
      <x:c r="B23" s="136" t="s">
        <x:v>230</x:v>
      </x:c>
      <x:c r="C23" s="136">
        <x:v>233</x:v>
      </x:c>
      <x:c r="D23" s="136">
        <x:v>283</x:v>
      </x:c>
      <x:c r="E23" s="156">
        <x:v>0.82332155477031799</x:v>
      </x:c>
      <x:c r="F23" s="156">
        <x:v>0.77464257223868949</x:v>
      </x:c>
      <x:c r="G23" s="156">
        <x:v>0.86334051692972158</x:v>
      </x:c>
    </x:row>
    <x:row r="24" ht="14.25" customHeight="1">
      <x:c r="A24" s="139" t="s">
        <x:v>44</x:v>
      </x:c>
      <x:c r="B24" s="139" t="s">
        <x:v>231</x:v>
      </x:c>
      <x:c r="C24" s="139">
        <x:v>290</x:v>
      </x:c>
      <x:c r="D24" s="139">
        <x:v>400</x:v>
      </x:c>
      <x:c r="E24" s="157">
        <x:v>0.72499999999999998</x:v>
      </x:c>
      <x:c r="F24" s="157">
        <x:v>0.67925819226057571</x:v>
      </x:c>
      <x:c r="G24" s="157">
        <x:v>0.76646127528899088</x:v>
      </x:c>
    </x:row>
    <x:row r="25" ht="14.25" customHeight="1">
      <x:c r="A25" s="136" t="s">
        <x:v>44</x:v>
      </x:c>
      <x:c r="B25" s="136" t="s">
        <x:v>232</x:v>
      </x:c>
      <x:c r="C25" s="136">
        <x:v>250</x:v>
      </x:c>
      <x:c r="D25" s="136">
        <x:v>400</x:v>
      </x:c>
      <x:c r="E25" s="156">
        <x:v>0.625</x:v>
      </x:c>
      <x:c r="F25" s="156">
        <x:v>0.57657900587958888</x:v>
      </x:c>
      <x:c r="G25" s="156">
        <x:v>0.67104292053683701</x:v>
      </x:c>
    </x:row>
    <x:row r="26" ht="14.25" customHeight="1">
      <x:c r="A26" s="139" t="s">
        <x:v>48</x:v>
      </x:c>
      <x:c r="B26" s="139" t="s">
        <x:v>230</x:v>
      </x:c>
      <x:c r="C26" s="139">
        <x:v>232</x:v>
      </x:c>
      <x:c r="D26" s="139">
        <x:v>283</x:v>
      </x:c>
      <x:c r="E26" s="157">
        <x:v>0.81978798586572443</x:v>
      </x:c>
      <x:c r="F26" s="157">
        <x:v>0.77081908852269843</x:v>
      </x:c>
      <x:c r="G26" s="157">
        <x:v>0.86019150786791587</x:v>
      </x:c>
    </x:row>
    <x:row r="27" ht="14.25" customHeight="1">
      <x:c r="A27" s="136" t="s">
        <x:v>48</x:v>
      </x:c>
      <x:c r="B27" s="136" t="s">
        <x:v>231</x:v>
      </x:c>
      <x:c r="C27" s="136">
        <x:v>299</x:v>
      </x:c>
      <x:c r="D27" s="136">
        <x:v>400</x:v>
      </x:c>
      <x:c r="E27" s="156">
        <x:v>0.74750000000000005</x:v>
      </x:c>
      <x:c r="F27" s="156">
        <x:v>0.70270835569659484</x:v>
      </x:c>
      <x:c r="G27" s="156">
        <x:v>0.78758305860792854</x:v>
      </x:c>
    </x:row>
    <x:row r="28" ht="14.25" customHeight="1">
      <x:c r="A28" s="139" t="s">
        <x:v>48</x:v>
      </x:c>
      <x:c r="B28" s="139" t="s">
        <x:v>232</x:v>
      </x:c>
      <x:c r="C28" s="139">
        <x:v>267</x:v>
      </x:c>
      <x:c r="D28" s="139">
        <x:v>400</x:v>
      </x:c>
      <x:c r="E28" s="157">
        <x:v>0.66749999999999998</x:v>
      </x:c>
      <x:c r="F28" s="157">
        <x:v>0.61993133958358526</x:v>
      </x:c>
      <x:c r="G28" s="157">
        <x:v>0.71188204181442538</x:v>
      </x:c>
    </x:row>
    <x:row r="29" ht="14.25" customHeight="1">
      <x:c r="A29" s="136" t="s">
        <x:v>51</x:v>
      </x:c>
      <x:c r="B29" s="136" t="s">
        <x:v>230</x:v>
      </x:c>
      <x:c r="C29" s="136">
        <x:v>237</x:v>
      </x:c>
      <x:c r="D29" s="136">
        <x:v>283</x:v>
      </x:c>
      <x:c r="E29" s="156">
        <x:v>0.83745583038869253</x:v>
      </x:c>
      <x:c r="F29" s="156">
        <x:v>0.7900013715642189</x:v>
      </x:c>
      <x:c r="G29" s="156">
        <x:v>0.87587168871537946</x:v>
      </x:c>
    </x:row>
    <x:row r="30" ht="14.25" customHeight="1">
      <x:c r="A30" s="139" t="s">
        <x:v>51</x:v>
      </x:c>
      <x:c r="B30" s="139" t="s">
        <x:v>231</x:v>
      </x:c>
      <x:c r="C30" s="139">
        <x:v>294</x:v>
      </x:c>
      <x:c r="D30" s="139">
        <x:v>400</x:v>
      </x:c>
      <x:c r="E30" s="157">
        <x:v>0.73499999999999999</x:v>
      </x:c>
      <x:c r="F30" s="157">
        <x:v>0.68966293924323485</x:v>
      </x:c>
      <x:c r="G30" s="157">
        <x:v>0.77586628241964573</x:v>
      </x:c>
    </x:row>
    <x:row r="31" ht="14.25" customHeight="1">
      <x:c r="A31" s="136" t="s">
        <x:v>51</x:v>
      </x:c>
      <x:c r="B31" s="136" t="s">
        <x:v>232</x:v>
      </x:c>
      <x:c r="C31" s="136">
        <x:v>263</x:v>
      </x:c>
      <x:c r="D31" s="136">
        <x:v>400</x:v>
      </x:c>
      <x:c r="E31" s="156">
        <x:v>0.65749999999999997</x:v>
      </x:c>
      <x:c r="F31" s="156">
        <x:v>0.60969464578891286</x:v>
      </x:c>
      <x:c r="G31" s="156">
        <x:v>0.70230898149578358</x:v>
      </x:c>
    </x:row>
    <x:row r="32" ht="14.25" customHeight="1">
      <x:c r="A32" s="139" t="s">
        <x:v>52</x:v>
      </x:c>
      <x:c r="B32" s="139" t="s">
        <x:v>230</x:v>
      </x:c>
      <x:c r="C32" s="139">
        <x:v>237</x:v>
      </x:c>
      <x:c r="D32" s="139">
        <x:v>283</x:v>
      </x:c>
      <x:c r="E32" s="157">
        <x:v>0.83745583038869253</x:v>
      </x:c>
      <x:c r="F32" s="157">
        <x:v>0.7900013715642189</x:v>
      </x:c>
      <x:c r="G32" s="157">
        <x:v>0.87587168871537946</x:v>
      </x:c>
    </x:row>
    <x:row r="33" ht="14.25" customHeight="1">
      <x:c r="A33" s="136" t="s">
        <x:v>52</x:v>
      </x:c>
      <x:c r="B33" s="136" t="s">
        <x:v>231</x:v>
      </x:c>
      <x:c r="C33" s="136">
        <x:v>285</x:v>
      </x:c>
      <x:c r="D33" s="136">
        <x:v>400</x:v>
      </x:c>
      <x:c r="E33" s="156">
        <x:v>0.71250000000000002</x:v>
      </x:c>
      <x:c r="F33" s="156">
        <x:v>0.66629017799808621</x:v>
      </x:c>
      <x:c r="G33" s="156">
        <x:v>0.7546670969098378</x:v>
      </x:c>
    </x:row>
    <x:row r="34" ht="14.25" customHeight="1">
      <x:c r="A34" s="139" t="s">
        <x:v>52</x:v>
      </x:c>
      <x:c r="B34" s="139" t="s">
        <x:v>232</x:v>
      </x:c>
      <x:c r="C34" s="139">
        <x:v>272</x:v>
      </x:c>
      <x:c r="D34" s="139">
        <x:v>400</x:v>
      </x:c>
      <x:c r="E34" s="157">
        <x:v>0.68</x:v>
      </x:c>
      <x:c r="F34" s="157">
        <x:v>0.632759697663558</x:v>
      </x:c>
      <x:c r="G34" s="157">
        <x:v>0.72381587637609546</x:v>
      </x:c>
    </x:row>
    <x:row r="35" ht="14.25" customHeight="1">
      <x:c r="A35" s="136" t="s">
        <x:v>54</x:v>
      </x:c>
      <x:c r="B35" s="136" t="s">
        <x:v>230</x:v>
      </x:c>
      <x:c r="C35" s="136">
        <x:v>219</x:v>
      </x:c>
      <x:c r="D35" s="136">
        <x:v>283</x:v>
      </x:c>
      <x:c r="E35" s="156">
        <x:v>0.77385159010600701</x:v>
      </x:c>
      <x:c r="F35" s="156">
        <x:v>0.72163340846563351</x:v>
      </x:c>
      <x:c r="G35" s="156">
        <x:v>0.81873478181362169</x:v>
      </x:c>
    </x:row>
    <x:row r="36" ht="14.25" customHeight="1">
      <x:c r="A36" s="139" t="s">
        <x:v>54</x:v>
      </x:c>
      <x:c r="B36" s="139" t="s">
        <x:v>231</x:v>
      </x:c>
      <x:c r="C36" s="139">
        <x:v>266</x:v>
      </x:c>
      <x:c r="D36" s="139">
        <x:v>400</x:v>
      </x:c>
      <x:c r="E36" s="157">
        <x:v>0.66500000000000004</x:v>
      </x:c>
      <x:c r="F36" s="157">
        <x:v>0.61737002430023602</x:v>
      </x:c>
      <x:c r="G36" s="157">
        <x:v>0.70949091856944624</x:v>
      </x:c>
    </x:row>
    <x:row r="37" ht="14.25" customHeight="1">
      <x:c r="A37" s="136" t="s">
        <x:v>54</x:v>
      </x:c>
      <x:c r="B37" s="136" t="s">
        <x:v>232</x:v>
      </x:c>
      <x:c r="C37" s="136">
        <x:v>244</x:v>
      </x:c>
      <x:c r="D37" s="136">
        <x:v>400</x:v>
      </x:c>
      <x:c r="E37" s="156">
        <x:v>0.61</x:v>
      </x:c>
      <x:c r="F37" s="156">
        <x:v>0.56137140644623451</x:v>
      </x:c>
      <x:c r="G37" s="156">
        <x:v>0.65653588880022018</x:v>
      </x:c>
    </x:row>
    <x:row r="38" ht="14.25" customHeight="1">
      <x:c r="A38" s="139" t="s">
        <x:v>57</x:v>
      </x:c>
      <x:c r="B38" s="139" t="s">
        <x:v>230</x:v>
      </x:c>
      <x:c r="C38" s="139">
        <x:v>223</x:v>
      </x:c>
      <x:c r="D38" s="139">
        <x:v>283</x:v>
      </x:c>
      <x:c r="E38" s="157">
        <x:v>0.78798586572438167</x:v>
      </x:c>
      <x:c r="F38" s="157">
        <x:v>0.73667127627210982</x:v>
      </x:c>
      <x:c r="G38" s="157">
        <x:v>0.8315868851183329</x:v>
      </x:c>
    </x:row>
    <x:row r="39" ht="14.25" customHeight="1">
      <x:c r="A39" s="136" t="s">
        <x:v>57</x:v>
      </x:c>
      <x:c r="B39" s="136" t="s">
        <x:v>231</x:v>
      </x:c>
      <x:c r="C39" s="136">
        <x:v>267</x:v>
      </x:c>
      <x:c r="D39" s="136">
        <x:v>400</x:v>
      </x:c>
      <x:c r="E39" s="156">
        <x:v>0.66749999999999998</x:v>
      </x:c>
      <x:c r="F39" s="156">
        <x:v>0.61993133958358526</x:v>
      </x:c>
      <x:c r="G39" s="156">
        <x:v>0.71188204181442538</x:v>
      </x:c>
    </x:row>
    <x:row r="40" ht="14.25" customHeight="1">
      <x:c r="A40" s="146" t="s">
        <x:v>57</x:v>
      </x:c>
      <x:c r="B40" s="146" t="s">
        <x:v>232</x:v>
      </x:c>
      <x:c r="C40" s="146">
        <x:v>250</x:v>
      </x:c>
      <x:c r="D40" s="146">
        <x:v>400</x:v>
      </x:c>
      <x:c r="E40" s="161">
        <x:v>0.625</x:v>
      </x:c>
      <x:c r="F40" s="161">
        <x:v>0.57657900587958888</x:v>
      </x:c>
      <x:c r="G40" s="161">
        <x:v>0.67104292053683701</x:v>
      </x:c>
    </x:row>
    <x:row r="41" ht="14.25" customHeight="1">
      <x:c r="A41" s="149" t="s">
        <x:v>58</x:v>
      </x:c>
      <x:c r="B41" s="149" t="s">
        <x:v>230</x:v>
      </x:c>
      <x:c r="C41" s="149">
        <x:v>215</x:v>
      </x:c>
      <x:c r="D41" s="149">
        <x:v>283</x:v>
      </x:c>
      <x:c r="E41" s="160">
        <x:v>0.75971731448763247</x:v>
      </x:c>
      <x:c r="F41" s="160">
        <x:v>0.70667283215685772</x:v>
      </x:c>
      <x:c r="G41" s="160">
        <x:v>0.80580538701121018</x:v>
      </x:c>
    </x:row>
    <x:row r="42" ht="14.25" customHeight="1">
      <x:c r="A42" s="150" t="s">
        <x:v>58</x:v>
      </x:c>
      <x:c r="B42" s="150" t="s">
        <x:v>231</x:v>
      </x:c>
      <x:c r="C42" s="150">
        <x:v>267</x:v>
      </x:c>
      <x:c r="D42" s="150">
        <x:v>400</x:v>
      </x:c>
      <x:c r="E42" s="159">
        <x:v>0.66749999999999998</x:v>
      </x:c>
      <x:c r="F42" s="159">
        <x:v>0.61993133958358526</x:v>
      </x:c>
      <x:c r="G42" s="159">
        <x:v>0.71188204181442538</x:v>
      </x:c>
    </x:row>
    <x:row r="43" ht="14.25" customHeight="1">
      <x:c r="A43" s="149" t="s">
        <x:v>58</x:v>
      </x:c>
      <x:c r="B43" s="149" t="s">
        <x:v>232</x:v>
      </x:c>
      <x:c r="C43" s="149">
        <x:v>249</x:v>
      </x:c>
      <x:c r="D43" s="149">
        <x:v>400</x:v>
      </x:c>
      <x:c r="E43" s="160">
        <x:v>0.62250000000000005</x:v>
      </x:c>
      <x:c r="F43" s="160">
        <x:v>0.57404111288873627</x:v>
      </x:c>
      <x:c r="G43" s="160">
        <x:v>0.66862837499936123</x:v>
      </x:c>
    </x:row>
    <x:row r="44" ht="14.25" customHeight="1">
      <x:c r="A44" s="150" t="s">
        <x:v>60</x:v>
      </x:c>
      <x:c r="B44" s="150" t="s">
        <x:v>230</x:v>
      </x:c>
      <x:c r="C44" s="150">
        <x:v>227</x:v>
      </x:c>
      <x:c r="D44" s="150">
        <x:v>283</x:v>
      </x:c>
      <x:c r="E44" s="159">
        <x:v>0.80212014134275622</x:v>
      </x:c>
      <x:c r="F44" s="159">
        <x:v>0.75179191061361861</x:v>
      </x:c>
      <x:c r="G44" s="159">
        <x:v>0.8443562218880114</x:v>
      </x:c>
    </x:row>
    <x:row r="45" ht="14.25" customHeight="1">
      <x:c r="A45" s="149" t="s">
        <x:v>60</x:v>
      </x:c>
      <x:c r="B45" s="149" t="s">
        <x:v>231</x:v>
      </x:c>
      <x:c r="C45" s="149">
        <x:v>294</x:v>
      </x:c>
      <x:c r="D45" s="149">
        <x:v>400</x:v>
      </x:c>
      <x:c r="E45" s="160">
        <x:v>0.73499999999999999</x:v>
      </x:c>
      <x:c r="F45" s="160">
        <x:v>0.68966293924323485</x:v>
      </x:c>
      <x:c r="G45" s="160">
        <x:v>0.77586628241964573</x:v>
      </x:c>
    </x:row>
    <x:row r="46" ht="14.25" customHeight="1">
      <x:c r="A46" s="150" t="s">
        <x:v>60</x:v>
      </x:c>
      <x:c r="B46" s="150" t="s">
        <x:v>232</x:v>
      </x:c>
      <x:c r="C46" s="150">
        <x:v>263</x:v>
      </x:c>
      <x:c r="D46" s="150">
        <x:v>400</x:v>
      </x:c>
      <x:c r="E46" s="159">
        <x:v>0.65749999999999997</x:v>
      </x:c>
      <x:c r="F46" s="159">
        <x:v>0.60969464578891286</x:v>
      </x:c>
      <x:c r="G46" s="159">
        <x:v>0.70230898149578358</x:v>
      </x:c>
    </x:row>
    <x:row r="47" ht="14.25" customHeight="1">
      <x:c r="A47" s="149" t="s">
        <x:v>65</x:v>
      </x:c>
      <x:c r="B47" s="149" t="s">
        <x:v>230</x:v>
      </x:c>
      <x:c r="C47" s="149">
        <x:v>227</x:v>
      </x:c>
      <x:c r="D47" s="149">
        <x:v>283</x:v>
      </x:c>
      <x:c r="E47" s="160">
        <x:v>0.80212014134275622</x:v>
      </x:c>
      <x:c r="F47" s="160">
        <x:v>0.75179191061361861</x:v>
      </x:c>
      <x:c r="G47" s="160">
        <x:v>0.8443562218880114</x:v>
      </x:c>
    </x:row>
    <x:row r="48" ht="14.25" customHeight="1">
      <x:c r="A48" s="150" t="s">
        <x:v>65</x:v>
      </x:c>
      <x:c r="B48" s="150" t="s">
        <x:v>231</x:v>
      </x:c>
      <x:c r="C48" s="150">
        <x:v>276</x:v>
      </x:c>
      <x:c r="D48" s="150">
        <x:v>400</x:v>
      </x:c>
      <x:c r="E48" s="159">
        <x:v>0.69</x:v>
      </x:c>
      <x:c r="F48" s="159">
        <x:v>0.64304904635208704</x:v>
      </x:c>
      <x:c r="G48" s="159">
        <x:v>0.73333628180088017</x:v>
      </x:c>
    </x:row>
    <x:row r="49" ht="14.25" customHeight="1">
      <x:c r="A49" s="149" t="s">
        <x:v>65</x:v>
      </x:c>
      <x:c r="B49" s="149" t="s">
        <x:v>232</x:v>
      </x:c>
      <x:c r="C49" s="149">
        <x:v>246</x:v>
      </x:c>
      <x:c r="D49" s="149">
        <x:v>400</x:v>
      </x:c>
      <x:c r="E49" s="160">
        <x:v>0.61499999999999999</x:v>
      </x:c>
      <x:c r="F49" s="160">
        <x:v>0.56643535687012525</x:v>
      </x:c>
      <x:c r="G49" s="160">
        <x:v>0.66137681543298643</x:v>
      </x:c>
    </x:row>
    <x:row r="50" ht="14.25" customHeight="1">
      <x:c r="A50" s="150" t="s">
        <x:v>67</x:v>
      </x:c>
      <x:c r="B50" s="150" t="s">
        <x:v>230</x:v>
      </x:c>
      <x:c r="C50" s="150">
        <x:v>239</x:v>
      </x:c>
      <x:c r="D50" s="150">
        <x:v>283</x:v>
      </x:c>
      <x:c r="E50" s="159">
        <x:v>0.84452296819787986</x:v>
      </x:c>
      <x:c r="F50" s="159">
        <x:v>0.797721982805493</x:v>
      </x:c>
      <x:c r="G50" s="159">
        <x:v>0.88209606302969912</x:v>
      </x:c>
    </x:row>
    <x:row r="51" ht="14.25" customHeight="1">
      <x:c r="A51" s="149" t="s">
        <x:v>67</x:v>
      </x:c>
      <x:c r="B51" s="149" t="s">
        <x:v>231</x:v>
      </x:c>
      <x:c r="C51" s="149">
        <x:v>287</x:v>
      </x:c>
      <x:c r="D51" s="149">
        <x:v>400</x:v>
      </x:c>
      <x:c r="E51" s="160">
        <x:v>0.71750000000000003</x:v>
      </x:c>
      <x:c r="F51" s="160">
        <x:v>0.67147242431605569</x:v>
      </x:c>
      <x:c r="G51" s="160">
        <x:v>0.7593897276485253</x:v>
      </x:c>
    </x:row>
    <x:row r="52" ht="14.25" customHeight="1">
      <x:c r="A52" s="150" t="s">
        <x:v>67</x:v>
      </x:c>
      <x:c r="B52" s="150" t="s">
        <x:v>232</x:v>
      </x:c>
      <x:c r="C52" s="150">
        <x:v>263</x:v>
      </x:c>
      <x:c r="D52" s="150">
        <x:v>400</x:v>
      </x:c>
      <x:c r="E52" s="159">
        <x:v>0.65749999999999997</x:v>
      </x:c>
      <x:c r="F52" s="159">
        <x:v>0.60969464578891286</x:v>
      </x:c>
      <x:c r="G52" s="159">
        <x:v>0.70230898149578358</x:v>
      </x:c>
    </x:row>
    <x:row r="53" ht="14.25" customHeight="1">
      <x:c r="A53" s="149" t="s">
        <x:v>69</x:v>
      </x:c>
      <x:c r="B53" s="149" t="s">
        <x:v>230</x:v>
      </x:c>
      <x:c r="C53" s="149">
        <x:v>239</x:v>
      </x:c>
      <x:c r="D53" s="149">
        <x:v>283</x:v>
      </x:c>
      <x:c r="E53" s="160">
        <x:v>0.84452296819787986</x:v>
      </x:c>
      <x:c r="F53" s="160">
        <x:v>0.797721982805493</x:v>
      </x:c>
      <x:c r="G53" s="160">
        <x:v>0.88209606302969912</x:v>
      </x:c>
    </x:row>
    <x:row r="54" ht="14.25" customHeight="1">
      <x:c r="A54" s="150" t="s">
        <x:v>69</x:v>
      </x:c>
      <x:c r="B54" s="150" t="s">
        <x:v>231</x:v>
      </x:c>
      <x:c r="C54" s="150">
        <x:v>288</x:v>
      </x:c>
      <x:c r="D54" s="150">
        <x:v>400</x:v>
      </x:c>
      <x:c r="E54" s="159">
        <x:v>0.72</x:v>
      </x:c>
      <x:c r="F54" s="159">
        <x:v>0.67406601388995591</x:v>
      </x:c>
      <x:c r="G54" s="159">
        <x:v>0.76174857660295348</x:v>
      </x:c>
    </x:row>
    <x:row r="55" ht="14.25" customHeight="1">
      <x:c r="A55" s="149" t="s">
        <x:v>69</x:v>
      </x:c>
      <x:c r="B55" s="149" t="s">
        <x:v>232</x:v>
      </x:c>
      <x:c r="C55" s="149">
        <x:v>263</x:v>
      </x:c>
      <x:c r="D55" s="149">
        <x:v>400</x:v>
      </x:c>
      <x:c r="E55" s="160">
        <x:v>0.65749999999999997</x:v>
      </x:c>
      <x:c r="F55" s="160">
        <x:v>0.60969464578891286</x:v>
      </x:c>
      <x:c r="G55" s="160">
        <x:v>0.70230898149578358</x:v>
      </x:c>
    </x:row>
    <x:row r="56" ht="14.25" customHeight="1">
      <x:c r="A56" s="150" t="s">
        <x:v>71</x:v>
      </x:c>
      <x:c r="B56" s="150" t="s">
        <x:v>230</x:v>
      </x:c>
      <x:c r="C56" s="150">
        <x:v>245</x:v>
      </x:c>
      <x:c r="D56" s="150">
        <x:v>283</x:v>
      </x:c>
      <x:c r="E56" s="159">
        <x:v>0.86572438162544174</x:v>
      </x:c>
      <x:c r="F56" s="159">
        <x:v>0.82106744006518639</x:v>
      </x:c>
      <x:c r="G56" s="159">
        <x:v>0.90058556243678678</x:v>
      </x:c>
    </x:row>
    <x:row r="57" ht="14.25" customHeight="1">
      <x:c r="A57" s="149" t="s">
        <x:v>71</x:v>
      </x:c>
      <x:c r="B57" s="149" t="s">
        <x:v>231</x:v>
      </x:c>
      <x:c r="C57" s="149">
        <x:v>299</x:v>
      </x:c>
      <x:c r="D57" s="149">
        <x:v>400</x:v>
      </x:c>
      <x:c r="E57" s="160">
        <x:v>0.74750000000000005</x:v>
      </x:c>
      <x:c r="F57" s="160">
        <x:v>0.70270835569659484</x:v>
      </x:c>
      <x:c r="G57" s="160">
        <x:v>0.78758305860792854</x:v>
      </x:c>
    </x:row>
    <x:row r="58" ht="14.25" customHeight="1">
      <x:c r="A58" s="150" t="s">
        <x:v>71</x:v>
      </x:c>
      <x:c r="B58" s="150" t="s">
        <x:v>232</x:v>
      </x:c>
      <x:c r="C58" s="150">
        <x:v>272</x:v>
      </x:c>
      <x:c r="D58" s="150">
        <x:v>400</x:v>
      </x:c>
      <x:c r="E58" s="159">
        <x:v>0.68</x:v>
      </x:c>
      <x:c r="F58" s="159">
        <x:v>0.632759697663558</x:v>
      </x:c>
      <x:c r="G58" s="159">
        <x:v>0.72381587637609546</x:v>
      </x:c>
    </x:row>
  </x:sheetData>
  <x:pageMargins left="0.7" right="0.7" top="0.75" bottom="0.75" header="0.3" footer="0.3"/>
  <x:tableParts count="1">
    <x:tablePart xmlns:r="http://schemas.openxmlformats.org/officeDocument/2006/relationships" r:id="Rb286387ce7b24de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5.125" customWidth="1"/>
    <x:col min="2" max="2" width="8.25" customWidth="1"/>
    <x:col min="3" max="3" width="12.125" customWidth="1"/>
    <x:col min="4" max="4" width="13.25" customWidth="1"/>
    <x:col min="5" max="5" width="15.25" customWidth="1"/>
    <x:col min="6" max="6" width="28" customWidth="1"/>
    <x:col min="7" max="7" width="14" customWidth="1"/>
  </x:cols>
  <x:sheetData>
    <x:row r="1" ht="24" customHeight="1">
      <x:c r="A1" s="1" t="s">
        <x:v>175</x:v>
      </x:c>
      <x:c r="B1" s="2" t="s">
        <x:v>233</x:v>
      </x:c>
      <x:c r="C1" s="2" t="s">
        <x:v>206</x:v>
      </x:c>
      <x:c r="D1" s="2" t="s">
        <x:v>207</x:v>
      </x:c>
      <x:c r="E1" s="2" t="s">
        <x:v>208</x:v>
      </x:c>
      <x:c r="F1" s="2" t="s">
        <x:v>234</x:v>
      </x:c>
      <x:c r="G1" s="3" t="s">
        <x:v>235</x:v>
      </x:c>
    </x:row>
    <x:row r="2" ht="14.25" customHeight="1">
      <x:c r="A2" s="131" t="s">
        <x:v>26</x:v>
      </x:c>
      <x:c r="B2" s="167">
        <x:v>400</x:v>
      </x:c>
      <x:c r="C2" s="167" t="s">
        <x:v>23</x:v>
      </x:c>
      <x:c r="D2" s="167">
        <x:v>95844</x:v>
      </x:c>
      <x:c r="E2" s="167">
        <x:v>0</x:v>
      </x:c>
      <x:c r="F2" s="175">
        <x:v>13.00101475</x:v>
      </x:c>
      <x:c r="G2" s="131">
        <x:v>400</x:v>
      </x:c>
    </x:row>
    <x:row r="3" ht="14.25" customHeight="1">
      <x:c r="A3" s="136" t="s">
        <x:v>31</x:v>
      </x:c>
      <x:c r="B3" s="168">
        <x:v>400</x:v>
      </x:c>
      <x:c r="C3" s="168" t="s">
        <x:v>23</x:v>
      </x:c>
      <x:c r="D3" s="168">
        <x:v>104456</x:v>
      </x:c>
      <x:c r="E3" s="168">
        <x:v>102400</x:v>
      </x:c>
      <x:c r="F3" s="176">
        <x:v>27.690099749999998</x:v>
      </x:c>
      <x:c r="G3" s="136">
        <x:v>400</x:v>
      </x:c>
    </x:row>
    <x:row r="4" ht="14.25" customHeight="1">
      <x:c r="A4" s="139" t="s">
        <x:v>33</x:v>
      </x:c>
      <x:c r="B4" s="169">
        <x:v>400</x:v>
      </x:c>
      <x:c r="C4" s="169" t="s">
        <x:v>23</x:v>
      </x:c>
      <x:c r="D4" s="169">
        <x:v>106329</x:v>
      </x:c>
      <x:c r="E4" s="169">
        <x:v>409600</x:v>
      </x:c>
      <x:c r="F4" s="177">
        <x:v>62.240854500000005</x:v>
      </x:c>
      <x:c r="G4" s="139">
        <x:v>400</x:v>
      </x:c>
    </x:row>
    <x:row r="5" ht="14.25" customHeight="1">
      <x:c r="A5" s="136" t="s">
        <x:v>35</x:v>
      </x:c>
      <x:c r="B5" s="168">
        <x:v>400</x:v>
      </x:c>
      <x:c r="C5" s="168" t="s">
        <x:v>23</x:v>
      </x:c>
      <x:c r="D5" s="168">
        <x:v>100306</x:v>
      </x:c>
      <x:c r="E5" s="168">
        <x:v>0</x:v>
      </x:c>
      <x:c r="F5" s="176">
        <x:v>19.861763249999999</x:v>
      </x:c>
      <x:c r="G5" s="136">
        <x:v>400</x:v>
      </x:c>
    </x:row>
    <x:row r="6" ht="14.25" customHeight="1">
      <x:c r="A6" s="139" t="s">
        <x:v>37</x:v>
      </x:c>
      <x:c r="B6" s="169">
        <x:v>400</x:v>
      </x:c>
      <x:c r="C6" s="169" t="s">
        <x:v>23</x:v>
      </x:c>
      <x:c r="D6" s="169">
        <x:v>99165</x:v>
      </x:c>
      <x:c r="E6" s="169">
        <x:v>102400</x:v>
      </x:c>
      <x:c r="F6" s="177">
        <x:v>39.878309250000001</x:v>
      </x:c>
      <x:c r="G6" s="139">
        <x:v>400</x:v>
      </x:c>
    </x:row>
    <x:row r="7" ht="14.25" customHeight="1">
      <x:c r="A7" s="136" t="s">
        <x:v>38</x:v>
      </x:c>
      <x:c r="B7" s="168">
        <x:v>400</x:v>
      </x:c>
      <x:c r="C7" s="168" t="s">
        <x:v>23</x:v>
      </x:c>
      <x:c r="D7" s="168">
        <x:v>100337</x:v>
      </x:c>
      <x:c r="E7" s="168">
        <x:v>409600</x:v>
      </x:c>
      <x:c r="F7" s="176">
        <x:v>93.158844500000001</x:v>
      </x:c>
      <x:c r="G7" s="136">
        <x:v>400</x:v>
      </x:c>
    </x:row>
    <x:row r="8" ht="14.25" customHeight="1">
      <x:c r="A8" s="139" t="s">
        <x:v>40</x:v>
      </x:c>
      <x:c r="B8" s="169">
        <x:v>400</x:v>
      </x:c>
      <x:c r="C8" s="169">
        <x:v>0</x:v>
      </x:c>
      <x:c r="D8" s="169">
        <x:v>0</x:v>
      </x:c>
      <x:c r="E8" s="169">
        <x:v>0</x:v>
      </x:c>
      <x:c r="F8" s="177"/>
      <x:c r="G8" s="139">
        <x:v>0</x:v>
      </x:c>
    </x:row>
    <x:row r="9" ht="14.25" customHeight="1">
      <x:c r="A9" s="136" t="s">
        <x:v>44</x:v>
      </x:c>
      <x:c r="B9" s="168">
        <x:v>400</x:v>
      </x:c>
      <x:c r="C9" s="168">
        <x:v>0</x:v>
      </x:c>
      <x:c r="D9" s="168">
        <x:v>0</x:v>
      </x:c>
      <x:c r="E9" s="168">
        <x:v>0</x:v>
      </x:c>
      <x:c r="F9" s="176"/>
      <x:c r="G9" s="136">
        <x:v>0</x:v>
      </x:c>
    </x:row>
    <x:row r="10" ht="14.25" customHeight="1">
      <x:c r="A10" s="139" t="s">
        <x:v>48</x:v>
      </x:c>
      <x:c r="B10" s="169">
        <x:v>400</x:v>
      </x:c>
      <x:c r="C10" s="169">
        <x:v>1619365</x:v>
      </x:c>
      <x:c r="D10" s="169">
        <x:v>101311</x:v>
      </x:c>
      <x:c r="E10" s="169">
        <x:v>0</x:v>
      </x:c>
      <x:c r="F10" s="177">
        <x:v>7.0388349999999988</x:v>
      </x:c>
      <x:c r="G10" s="139">
        <x:v>400</x:v>
      </x:c>
    </x:row>
    <x:row r="11" ht="14.25" customHeight="1">
      <x:c r="A11" s="136" t="s">
        <x:v>51</x:v>
      </x:c>
      <x:c r="B11" s="168">
        <x:v>400</x:v>
      </x:c>
      <x:c r="C11" s="168">
        <x:v>1619365</x:v>
      </x:c>
      <x:c r="D11" s="168">
        <x:v>157786</x:v>
      </x:c>
      <x:c r="E11" s="168">
        <x:v>59474</x:v>
      </x:c>
      <x:c r="F11" s="176">
        <x:v>10.24335</x:v>
      </x:c>
      <x:c r="G11" s="136">
        <x:v>400</x:v>
      </x:c>
    </x:row>
    <x:row r="12" ht="14.25" customHeight="1">
      <x:c r="A12" s="139" t="s">
        <x:v>52</x:v>
      </x:c>
      <x:c r="B12" s="169">
        <x:v>400</x:v>
      </x:c>
      <x:c r="C12" s="169">
        <x:v>1619365</x:v>
      </x:c>
      <x:c r="D12" s="169">
        <x:v>1276440</x:v>
      </x:c>
      <x:c r="E12" s="169">
        <x:v>1176995</x:v>
      </x:c>
      <x:c r="F12" s="177">
        <x:v>67.511917499999996</x:v>
      </x:c>
      <x:c r="G12" s="139">
        <x:v>400</x:v>
      </x:c>
    </x:row>
    <x:row r="13" ht="14.25" customHeight="1">
      <x:c r="A13" s="136" t="s">
        <x:v>54</x:v>
      </x:c>
      <x:c r="B13" s="168">
        <x:v>400</x:v>
      </x:c>
      <x:c r="C13" s="168">
        <x:v>1619365</x:v>
      </x:c>
      <x:c r="D13" s="168">
        <x:v>97523</x:v>
      </x:c>
      <x:c r="E13" s="168">
        <x:v>0</x:v>
      </x:c>
      <x:c r="F13" s="176">
        <x:v>9.7064599999999999</x:v>
      </x:c>
      <x:c r="G13" s="136">
        <x:v>400</x:v>
      </x:c>
    </x:row>
    <x:row r="14" ht="14.25" customHeight="1">
      <x:c r="A14" s="146" t="s">
        <x:v>57</x:v>
      </x:c>
      <x:c r="B14" s="174">
        <x:v>400</x:v>
      </x:c>
      <x:c r="C14" s="174">
        <x:v>1619365</x:v>
      </x:c>
      <x:c r="D14" s="174">
        <x:v>167714</x:v>
      </x:c>
      <x:c r="E14" s="174">
        <x:v>67928</x:v>
      </x:c>
      <x:c r="F14" s="178">
        <x:v>17.1882825</x:v>
      </x:c>
      <x:c r="G14" s="146">
        <x:v>400</x:v>
      </x:c>
    </x:row>
    <x:row r="15" ht="14.25" customHeight="1">
      <x:c r="A15" s="149" t="s">
        <x:v>58</x:v>
      </x:c>
      <x:c r="B15" s="172">
        <x:v>400</x:v>
      </x:c>
      <x:c r="C15" s="172">
        <x:v>1619365</x:v>
      </x:c>
      <x:c r="D15" s="172">
        <x:v>334930</x:v>
      </x:c>
      <x:c r="E15" s="172">
        <x:v>230941</x:v>
      </x:c>
      <x:c r="F15" s="179">
        <x:v>31.23987</x:v>
      </x:c>
      <x:c r="G15" s="149">
        <x:v>400</x:v>
      </x:c>
    </x:row>
    <x:row r="16" ht="14.25" customHeight="1">
      <x:c r="A16" s="150" t="s">
        <x:v>60</x:v>
      </x:c>
      <x:c r="B16" s="173">
        <x:v>400</x:v>
      </x:c>
      <x:c r="C16" s="173">
        <x:v>1598828</x:v>
      </x:c>
      <x:c r="D16" s="173">
        <x:v>94446</x:v>
      </x:c>
      <x:c r="E16" s="173">
        <x:v>0</x:v>
      </x:c>
      <x:c r="F16" s="180">
        <x:v>4.26187</x:v>
      </x:c>
      <x:c r="G16" s="150">
        <x:v>400</x:v>
      </x:c>
    </x:row>
    <x:row r="17" ht="14.25" customHeight="1">
      <x:c r="A17" s="149" t="s">
        <x:v>65</x:v>
      </x:c>
      <x:c r="B17" s="172">
        <x:v>400</x:v>
      </x:c>
      <x:c r="C17" s="172">
        <x:v>1598828</x:v>
      </x:c>
      <x:c r="D17" s="172">
        <x:v>98371</x:v>
      </x:c>
      <x:c r="E17" s="172">
        <x:v>241</x:v>
      </x:c>
      <x:c r="F17" s="179">
        <x:v>10.928651162790697</x:v>
      </x:c>
      <x:c r="G17" s="149">
        <x:v>129</x:v>
      </x:c>
    </x:row>
    <x:row r="18" ht="14.25" customHeight="1">
      <x:c r="A18" s="150" t="s">
        <x:v>67</x:v>
      </x:c>
      <x:c r="B18" s="173">
        <x:v>400</x:v>
      </x:c>
      <x:c r="C18" s="173">
        <x:v>1598828</x:v>
      </x:c>
      <x:c r="D18" s="173">
        <x:v>112843</x:v>
      </x:c>
      <x:c r="E18" s="173">
        <x:v>714968</x:v>
      </x:c>
      <x:c r="F18" s="180">
        <x:v>25.176142857142857</x:v>
      </x:c>
      <x:c r="G18" s="150">
        <x:v>28</x:v>
      </x:c>
    </x:row>
    <x:row r="19" ht="14.25" customHeight="1">
      <x:c r="A19" s="149" t="s">
        <x:v>69</x:v>
      </x:c>
      <x:c r="B19" s="172">
        <x:v>400</x:v>
      </x:c>
      <x:c r="C19" s="172">
        <x:v>1598828</x:v>
      </x:c>
      <x:c r="D19" s="172">
        <x:v>97282</x:v>
      </x:c>
      <x:c r="E19" s="172">
        <x:v>85356</x:v>
      </x:c>
      <x:c r="F19" s="179">
        <x:v>5.7379999999999995</x:v>
      </x:c>
      <x:c r="G19" s="149">
        <x:v>2</x:v>
      </x:c>
    </x:row>
    <x:row r="20" ht="14.25" customHeight="1">
      <x:c r="A20" s="150" t="s">
        <x:v>71</x:v>
      </x:c>
      <x:c r="B20" s="173">
        <x:v>400</x:v>
      </x:c>
      <x:c r="C20" s="173">
        <x:v>1598828</x:v>
      </x:c>
      <x:c r="D20" s="173">
        <x:v>94335</x:v>
      </x:c>
      <x:c r="E20" s="173">
        <x:v>1396283</x:v>
      </x:c>
      <x:c r="F20" s="180">
        <x:v>31.832000000000001</x:v>
      </x:c>
      <x:c r="G20" s="150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fb89107842b446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7" customWidth="1"/>
    <x:col min="2" max="2" width="105" customWidth="1"/>
  </x:cols>
  <x:sheetData>
    <x:row r="1" ht="16.700000762939453" customHeight="1">
      <x:c r="A1" s="181" t="s">
        <x:v>236</x:v>
      </x:c>
      <x:c r="B1" s="181" t="s">
        <x:v>236</x:v>
      </x:c>
    </x:row>
    <x:row r="3" ht="14.25" customHeight="1">
      <x:c r="A3" s="1" t="s">
        <x:v>237</x:v>
      </x:c>
      <x:c r="B3" s="3" t="s">
        <x:v>238</x:v>
      </x:c>
    </x:row>
    <x:row r="4" ht="14.25" customHeight="1">
      <x:c r="A4" s="4" t="s">
        <x:v>239</x:v>
      </x:c>
      <x:c r="B4" s="7" t="s">
        <x:v>240</x:v>
      </x:c>
    </x:row>
    <x:row r="5" ht="24" customHeight="1">
      <x:c r="A5" s="5" t="s">
        <x:v>127</x:v>
      </x:c>
      <x:c r="B5" s="8" t="s">
        <x:v>241</x:v>
      </x:c>
    </x:row>
    <x:row r="6" ht="14.25" customHeight="1">
      <x:c r="A6" s="5" t="s">
        <x:v>242</x:v>
      </x:c>
      <x:c r="B6" s="8" t="s">
        <x:v>243</x:v>
      </x:c>
    </x:row>
    <x:row r="7" ht="14.25" customHeight="1">
      <x:c r="A7" s="5" t="s">
        <x:v>244</x:v>
      </x:c>
      <x:c r="B7" s="8" t="s">
        <x:v>245</x:v>
      </x:c>
    </x:row>
    <x:row r="8" ht="14.25" customHeight="1">
      <x:c r="A8" s="5" t="s">
        <x:v>246</x:v>
      </x:c>
      <x:c r="B8" s="8" t="s">
        <x:v>247</x:v>
      </x:c>
    </x:row>
    <x:row r="9" ht="14.25" customHeight="1">
      <x:c r="A9" s="5" t="s">
        <x:v>248</x:v>
      </x:c>
      <x:c r="B9" s="8" t="s">
        <x:v>249</x:v>
      </x:c>
    </x:row>
    <x:row r="10" ht="14.25" customHeight="1">
      <x:c r="A10" s="5" t="s">
        <x:v>250</x:v>
      </x:c>
      <x:c r="B10" s="8" t="s">
        <x:v>251</x:v>
      </x:c>
    </x:row>
    <x:row r="11" ht="24" customHeight="1">
      <x:c r="A11" s="5" t="s">
        <x:v>252</x:v>
      </x:c>
      <x:c r="B11" s="8" t="s">
        <x:v>253</x:v>
      </x:c>
    </x:row>
    <x:row r="12" ht="24" customHeight="1">
      <x:c r="A12" s="5" t="s">
        <x:v>254</x:v>
      </x:c>
      <x:c r="B12" s="8" t="s">
        <x:v>255</x:v>
      </x:c>
    </x:row>
    <x:row r="13" ht="36" customHeight="1">
      <x:c r="A13" s="5" t="s">
        <x:v>256</x:v>
      </x:c>
      <x:c r="B13" s="8" t="s">
        <x:v>257</x:v>
      </x:c>
    </x:row>
    <x:row r="14" ht="24" customHeight="1">
      <x:c r="A14" s="5" t="s">
        <x:v>258</x:v>
      </x:c>
      <x:c r="B14" s="8" t="s">
        <x:v>259</x:v>
      </x:c>
    </x:row>
    <x:row r="15" ht="24" customHeight="1">
      <x:c r="A15" s="5" t="s">
        <x:v>260</x:v>
      </x:c>
      <x:c r="B15" s="8" t="s">
        <x:v>261</x:v>
      </x:c>
    </x:row>
    <x:row r="16" ht="24" customHeight="1">
      <x:c r="A16" s="6" t="s">
        <x:v>262</x:v>
      </x:c>
      <x:c r="B16" s="9" t="s">
        <x:v>263</x:v>
      </x:c>
    </x:row>
    <x:row r="18" ht="14.25" customHeight="1">
      <x:c r="A18" s="1" t="s">
        <x:v>264</x:v>
      </x:c>
      <x:c r="B18" s="3" t="s">
        <x:v>265</x:v>
      </x:c>
    </x:row>
    <x:row r="19" ht="14.25" customHeight="1">
      <x:c r="A19" s="4" t="s">
        <x:v>266</x:v>
      </x:c>
      <x:c r="B19" s="4" t="s">
        <x:v>267</x:v>
      </x:c>
    </x:row>
    <x:row r="20" ht="14.25" customHeight="1">
      <x:c r="A20" s="5" t="s">
        <x:v>268</x:v>
      </x:c>
      <x:c r="B20" s="5" t="s">
        <x:v>269</x:v>
      </x:c>
    </x:row>
    <x:row r="21" ht="14.25" customHeight="1">
      <x:c r="A21" s="5" t="s">
        <x:v>270</x:v>
      </x:c>
      <x:c r="B21" s="5" t="s">
        <x:v>271</x:v>
      </x:c>
    </x:row>
    <x:row r="22" ht="14.25" customHeight="1">
      <x:c r="A22" s="5" t="s">
        <x:v>272</x:v>
      </x:c>
      <x:c r="B22" s="5" t="s">
        <x:v>273</x:v>
      </x:c>
    </x:row>
    <x:row r="23" ht="14.25" customHeight="1">
      <x:c r="A23" s="5" t="s">
        <x:v>274</x:v>
      </x:c>
      <x:c r="B23" s="5" t="s">
        <x:v>275</x:v>
      </x:c>
    </x:row>
    <x:row r="24" ht="14.25" customHeight="1">
      <x:c r="A24" s="6" t="s">
        <x:v>276</x:v>
      </x:c>
      <x:c r="B24" s="6" t="s">
        <x:v>277</x:v>
      </x:c>
    </x:row>
    <x:row r="25" ht="14.25" customHeight="1">
      <x:c r="A25" t="s">
        <x:v>278</x:v>
      </x:c>
      <x:c r="B25" t="s">
        <x:v>279</x:v>
      </x:c>
    </x:row>
  </x:sheetData>
  <x:mergeCells>
    <x:mergeCell ref="A1:B1"/>
  </x:mergeCells>
  <x:pageMargins left="0.7" right="0.7" top="0.75" bottom="0.75" header="0.3" footer="0.3"/>
</x:worksheet>
</file>